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defaultThemeVersion="202300"/>
  <mc:AlternateContent xmlns:mc="http://schemas.openxmlformats.org/markup-compatibility/2006">
    <mc:Choice Requires="x15">
      <x15ac:absPath xmlns:x15ac="http://schemas.microsoft.com/office/spreadsheetml/2010/11/ac" url="C:\Users\biadias\Documents\WGOA-Ecopath-Rpath\"/>
    </mc:Choice>
  </mc:AlternateContent>
  <xr:revisionPtr revIDLastSave="0" documentId="8_{FAE6F6CC-E863-4DB1-B756-473F7BFC442E}" xr6:coauthVersionLast="47" xr6:coauthVersionMax="47" xr10:uidLastSave="{00000000-0000-0000-0000-000000000000}"/>
  <bookViews>
    <workbookView xWindow="-120" yWindow="-120" windowWidth="29040" windowHeight="15720" xr2:uid="{F6DBAD2C-BAF6-4F77-A9D1-CFD280CCF6D3}"/>
  </bookViews>
  <sheets>
    <sheet name="ShelStrWint" sheetId="3" r:id="rId1"/>
    <sheet name="Survey Biomass (t)" sheetId="1" r:id="rId2"/>
    <sheet name="CV" sheetId="2" r:id="rId3"/>
  </sheet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4" i="3" l="1"/>
  <c r="G15" i="3"/>
  <c r="G16" i="3"/>
  <c r="G17" i="3"/>
  <c r="G18" i="3"/>
  <c r="G19" i="3"/>
  <c r="G20" i="3"/>
  <c r="G21" i="3"/>
  <c r="G22" i="3"/>
  <c r="G23" i="3"/>
  <c r="G24" i="3"/>
  <c r="G25" i="3"/>
  <c r="G26" i="3"/>
  <c r="G27" i="3"/>
  <c r="G28" i="3"/>
  <c r="G29" i="3"/>
  <c r="G30" i="3"/>
  <c r="G31" i="3"/>
  <c r="G32" i="3"/>
  <c r="G33" i="3"/>
  <c r="G34" i="3"/>
  <c r="G35" i="3"/>
  <c r="G36" i="3"/>
  <c r="G37" i="3"/>
  <c r="G38" i="3"/>
  <c r="G39" i="3"/>
  <c r="G40" i="3"/>
  <c r="G41" i="3"/>
  <c r="G42" i="3"/>
  <c r="G43" i="3"/>
  <c r="G44" i="3"/>
  <c r="G45" i="3"/>
  <c r="G46" i="3"/>
</calcChain>
</file>

<file path=xl/sharedStrings.xml><?xml version="1.0" encoding="utf-8"?>
<sst xmlns="http://schemas.openxmlformats.org/spreadsheetml/2006/main" count="26" uniqueCount="24">
  <si>
    <t>Year</t>
  </si>
  <si>
    <t>Shelikof Strait acoustic survey</t>
  </si>
  <si>
    <t>Summer gulfwide acoustic survey</t>
  </si>
  <si>
    <t>NMFS bottom trawl west of 140W</t>
  </si>
  <si>
    <t>Shelikof Strait egg production</t>
  </si>
  <si>
    <t>ADFG crab/groundfish survey</t>
  </si>
  <si>
    <t>2024 GOA Pollock Assessment: Table 1.10. Biomass estimates (t) of walleye pollock from winter acoustic surveys in Shelikof Strait, summer gulfwide acoustic surveys, NMFS bottom trawl surveys (west of 140 W. long.), egg production surveys in Shelikof Strait, and ADF&amp;G crab/groundfish trawl surveys.</t>
  </si>
  <si>
    <t>No. of midwater tows</t>
  </si>
  <si>
    <t>No. of bottom trawl tows</t>
  </si>
  <si>
    <t>Survey biomass CV</t>
  </si>
  <si>
    <t>Aged Males</t>
  </si>
  <si>
    <t>Aged Females</t>
  </si>
  <si>
    <t>Aged Unsexed</t>
  </si>
  <si>
    <t>Aged Total</t>
  </si>
  <si>
    <t>Lengthed Males</t>
  </si>
  <si>
    <t>Lengthed Females</t>
  </si>
  <si>
    <t>Lengthed Unsexed</t>
  </si>
  <si>
    <t>Lengthed Total</t>
  </si>
  <si>
    <t>2024 GOA Pollock assessment: Table 1.12. Survey sampling effort and estimation uncertainty for pollock in the Shelikof Strait acoustic survey.  Survey CVs based on  a cluster sampling design are reported for 1981-91, while relative estimation error using a geostatistical method is reported starting in 1992.</t>
  </si>
  <si>
    <t>winter Shelikof Strait acoustic survey pollock biomass (t)</t>
  </si>
  <si>
    <t>winter Shelikof Strait Survey biomass CV</t>
  </si>
  <si>
    <t>use this for WGOA rpath fitting pollock adults</t>
  </si>
  <si>
    <t>winter Shelikof Strait Survey biomass CV scale to 20% average - Cole Monnahan</t>
  </si>
  <si>
    <t>SD log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</si>
</sst>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30" x14ac:knownFonts="1">
    <font>
      <sz val="11"/>
      <color theme="1"/>
      <name val="Aptos Narrow"/>
      <family val="2"/>
      <scheme val="minor"/>
    </font>
    <font>
      <sz val="11"/>
      <color theme="1"/>
      <name val="Times New Roman"/>
      <family val="1"/>
    </font>
    <font>
      <sz val="10"/>
      <color rgb="FF000000"/>
      <name val="Times New Roman"/>
      <family val="1"/>
    </font>
    <font>
      <sz val="9"/>
      <color rgb="FF000000"/>
      <name val="Times New Roman"/>
      <family val="1"/>
    </font>
    <font>
      <sz val="7"/>
      <color rgb="FF000000"/>
      <name val="Times New Roman"/>
      <family val="1"/>
    </font>
    <font>
      <sz val="11"/>
      <color theme="1"/>
      <name val="Aptos Narrow"/>
      <family val="2"/>
      <scheme val="min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name val="Arial"/>
    </font>
    <font>
      <sz val="8"/>
      <name val="Arial"/>
      <family val="2"/>
    </font>
    <font>
      <sz val="8"/>
      <name val="Helvetica"/>
    </font>
    <font>
      <b/>
      <sz val="18"/>
      <color theme="3"/>
      <name val="Aptos Display"/>
      <family val="2"/>
      <scheme val="major"/>
    </font>
    <font>
      <sz val="11"/>
      <color rgb="FF9C6500"/>
      <name val="Aptos Narrow"/>
      <family val="2"/>
      <scheme val="minor"/>
    </font>
    <font>
      <sz val="10"/>
      <name val="Arial"/>
      <family val="2"/>
    </font>
    <font>
      <sz val="10"/>
      <name val="Times New Roman"/>
      <family val="1"/>
    </font>
    <font>
      <u/>
      <sz val="8"/>
      <color rgb="FF0000FF"/>
      <name val="Aptos Narrow"/>
      <family val="2"/>
      <scheme val="minor"/>
    </font>
    <font>
      <u/>
      <sz val="8"/>
      <color rgb="FF800080"/>
      <name val="Aptos Narrow"/>
      <family val="2"/>
      <scheme val="minor"/>
    </font>
    <font>
      <sz val="9"/>
      <name val="Helvetica"/>
    </font>
  </fonts>
  <fills count="34">
    <fill>
      <patternFill patternType="none"/>
    </fill>
    <fill>
      <patternFill patternType="gray125"/>
    </fill>
    <fill>
      <patternFill patternType="solid">
        <fgColor rgb="FFFFFFFF"/>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69">
    <xf numFmtId="0" fontId="0" fillId="0" borderId="0"/>
    <xf numFmtId="0" fontId="6" fillId="0" borderId="1" applyNumberFormat="0" applyFill="0" applyAlignment="0" applyProtection="0"/>
    <xf numFmtId="0" fontId="7" fillId="0" borderId="2" applyNumberFormat="0" applyFill="0" applyAlignment="0" applyProtection="0"/>
    <xf numFmtId="0" fontId="8" fillId="0" borderId="3" applyNumberFormat="0" applyFill="0" applyAlignment="0" applyProtection="0"/>
    <xf numFmtId="0" fontId="8" fillId="0" borderId="0" applyNumberFormat="0" applyFill="0" applyBorder="0" applyAlignment="0" applyProtection="0"/>
    <xf numFmtId="0" fontId="9" fillId="3" borderId="0" applyNumberFormat="0" applyBorder="0" applyAlignment="0" applyProtection="0"/>
    <xf numFmtId="0" fontId="10" fillId="4" borderId="0" applyNumberFormat="0" applyBorder="0" applyAlignment="0" applyProtection="0"/>
    <xf numFmtId="0" fontId="11" fillId="6" borderId="4" applyNumberFormat="0" applyAlignment="0" applyProtection="0"/>
    <xf numFmtId="0" fontId="12" fillId="7" borderId="5" applyNumberFormat="0" applyAlignment="0" applyProtection="0"/>
    <xf numFmtId="0" fontId="13" fillId="7" borderId="4" applyNumberFormat="0" applyAlignment="0" applyProtection="0"/>
    <xf numFmtId="0" fontId="14" fillId="0" borderId="6" applyNumberFormat="0" applyFill="0" applyAlignment="0" applyProtection="0"/>
    <xf numFmtId="0" fontId="15" fillId="8" borderId="7" applyNumberFormat="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8" fillId="0" borderId="9" applyNumberFormat="0" applyFill="0" applyAlignment="0" applyProtection="0"/>
    <xf numFmtId="0" fontId="19" fillId="10" borderId="0" applyNumberFormat="0" applyBorder="0" applyAlignment="0" applyProtection="0"/>
    <xf numFmtId="0" fontId="5" fillId="11" borderId="0" applyNumberFormat="0" applyBorder="0" applyAlignment="0" applyProtection="0"/>
    <xf numFmtId="0" fontId="5" fillId="12" borderId="0" applyNumberFormat="0" applyBorder="0" applyAlignment="0" applyProtection="0"/>
    <xf numFmtId="0" fontId="19" fillId="14" borderId="0" applyNumberFormat="0" applyBorder="0" applyAlignment="0" applyProtection="0"/>
    <xf numFmtId="0" fontId="5" fillId="15" borderId="0" applyNumberFormat="0" applyBorder="0" applyAlignment="0" applyProtection="0"/>
    <xf numFmtId="0" fontId="5" fillId="16" borderId="0" applyNumberFormat="0" applyBorder="0" applyAlignment="0" applyProtection="0"/>
    <xf numFmtId="0" fontId="19" fillId="18" borderId="0" applyNumberFormat="0" applyBorder="0" applyAlignment="0" applyProtection="0"/>
    <xf numFmtId="0" fontId="5" fillId="19" borderId="0" applyNumberFormat="0" applyBorder="0" applyAlignment="0" applyProtection="0"/>
    <xf numFmtId="0" fontId="5" fillId="20" borderId="0" applyNumberFormat="0" applyBorder="0" applyAlignment="0" applyProtection="0"/>
    <xf numFmtId="0" fontId="19" fillId="22" borderId="0" applyNumberFormat="0" applyBorder="0" applyAlignment="0" applyProtection="0"/>
    <xf numFmtId="0" fontId="5" fillId="23" borderId="0" applyNumberFormat="0" applyBorder="0" applyAlignment="0" applyProtection="0"/>
    <xf numFmtId="0" fontId="5" fillId="24" borderId="0" applyNumberFormat="0" applyBorder="0" applyAlignment="0" applyProtection="0"/>
    <xf numFmtId="0" fontId="19" fillId="26" borderId="0" applyNumberFormat="0" applyBorder="0" applyAlignment="0" applyProtection="0"/>
    <xf numFmtId="0" fontId="5" fillId="27" borderId="0" applyNumberFormat="0" applyBorder="0" applyAlignment="0" applyProtection="0"/>
    <xf numFmtId="0" fontId="5" fillId="28" borderId="0" applyNumberFormat="0" applyBorder="0" applyAlignment="0" applyProtection="0"/>
    <xf numFmtId="0" fontId="19" fillId="30" borderId="0" applyNumberFormat="0" applyBorder="0" applyAlignment="0" applyProtection="0"/>
    <xf numFmtId="0" fontId="5" fillId="31" borderId="0" applyNumberFormat="0" applyBorder="0" applyAlignment="0" applyProtection="0"/>
    <xf numFmtId="0" fontId="5" fillId="32" borderId="0" applyNumberFormat="0" applyBorder="0" applyAlignment="0" applyProtection="0"/>
    <xf numFmtId="0" fontId="20" fillId="0" borderId="0"/>
    <xf numFmtId="0" fontId="23" fillId="0" borderId="0" applyNumberFormat="0" applyFill="0" applyBorder="0" applyAlignment="0" applyProtection="0"/>
    <xf numFmtId="0" fontId="24" fillId="5" borderId="0" applyNumberFormat="0" applyBorder="0" applyAlignment="0" applyProtection="0"/>
    <xf numFmtId="0" fontId="19" fillId="13" borderId="0" applyNumberFormat="0" applyBorder="0" applyAlignment="0" applyProtection="0"/>
    <xf numFmtId="0" fontId="19" fillId="17" borderId="0" applyNumberFormat="0" applyBorder="0" applyAlignment="0" applyProtection="0"/>
    <xf numFmtId="0" fontId="19" fillId="21" borderId="0" applyNumberFormat="0" applyBorder="0" applyAlignment="0" applyProtection="0"/>
    <xf numFmtId="0" fontId="19" fillId="25" borderId="0" applyNumberFormat="0" applyBorder="0" applyAlignment="0" applyProtection="0"/>
    <xf numFmtId="0" fontId="19" fillId="29" borderId="0" applyNumberFormat="0" applyBorder="0" applyAlignment="0" applyProtection="0"/>
    <xf numFmtId="0" fontId="19" fillId="33" borderId="0" applyNumberFormat="0" applyBorder="0" applyAlignment="0" applyProtection="0"/>
    <xf numFmtId="0" fontId="25" fillId="0" borderId="0"/>
    <xf numFmtId="9" fontId="25" fillId="0" borderId="0" applyFont="0" applyFill="0" applyBorder="0" applyAlignment="0" applyProtection="0"/>
    <xf numFmtId="0" fontId="5" fillId="0" borderId="0"/>
    <xf numFmtId="0" fontId="21" fillId="0" borderId="0"/>
    <xf numFmtId="0" fontId="5" fillId="9" borderId="8" applyNumberFormat="0" applyFont="0" applyAlignment="0" applyProtection="0"/>
    <xf numFmtId="0" fontId="27" fillId="0" borderId="0" applyNumberFormat="0" applyFill="0" applyBorder="0" applyAlignment="0" applyProtection="0"/>
    <xf numFmtId="0" fontId="28" fillId="0" borderId="0" applyNumberFormat="0" applyFill="0" applyBorder="0" applyAlignment="0" applyProtection="0"/>
    <xf numFmtId="43" fontId="5" fillId="0" borderId="0" applyFont="0" applyFill="0" applyBorder="0" applyAlignment="0" applyProtection="0"/>
    <xf numFmtId="0" fontId="26" fillId="0" borderId="0"/>
    <xf numFmtId="0" fontId="22" fillId="0" borderId="0"/>
    <xf numFmtId="0" fontId="29" fillId="0" borderId="0"/>
    <xf numFmtId="0" fontId="5" fillId="11" borderId="0" applyNumberFormat="0" applyBorder="0" applyAlignment="0" applyProtection="0"/>
    <xf numFmtId="0" fontId="5" fillId="12" borderId="0" applyNumberFormat="0" applyBorder="0" applyAlignment="0" applyProtection="0"/>
    <xf numFmtId="0" fontId="5" fillId="15" borderId="0" applyNumberFormat="0" applyBorder="0" applyAlignment="0" applyProtection="0"/>
    <xf numFmtId="0" fontId="5" fillId="16" borderId="0" applyNumberFormat="0" applyBorder="0" applyAlignment="0" applyProtection="0"/>
    <xf numFmtId="0" fontId="5" fillId="19" borderId="0" applyNumberFormat="0" applyBorder="0" applyAlignment="0" applyProtection="0"/>
    <xf numFmtId="0" fontId="5" fillId="20" borderId="0" applyNumberFormat="0" applyBorder="0" applyAlignment="0" applyProtection="0"/>
    <xf numFmtId="0" fontId="5" fillId="23" borderId="0" applyNumberFormat="0" applyBorder="0" applyAlignment="0" applyProtection="0"/>
    <xf numFmtId="0" fontId="5" fillId="24" borderId="0" applyNumberFormat="0" applyBorder="0" applyAlignment="0" applyProtection="0"/>
    <xf numFmtId="0" fontId="5" fillId="27" borderId="0" applyNumberFormat="0" applyBorder="0" applyAlignment="0" applyProtection="0"/>
    <xf numFmtId="0" fontId="5" fillId="28" borderId="0" applyNumberFormat="0" applyBorder="0" applyAlignment="0" applyProtection="0"/>
    <xf numFmtId="0" fontId="5" fillId="31" borderId="0" applyNumberFormat="0" applyBorder="0" applyAlignment="0" applyProtection="0"/>
    <xf numFmtId="0" fontId="5" fillId="32" borderId="0" applyNumberFormat="0" applyBorder="0" applyAlignment="0" applyProtection="0"/>
    <xf numFmtId="0" fontId="21" fillId="0" borderId="0"/>
    <xf numFmtId="0" fontId="5" fillId="0" borderId="0"/>
    <xf numFmtId="0" fontId="5" fillId="9" borderId="8" applyNumberFormat="0" applyFont="0" applyAlignment="0" applyProtection="0"/>
    <xf numFmtId="43" fontId="5" fillId="0" borderId="0" applyFont="0" applyFill="0" applyBorder="0" applyAlignment="0" applyProtection="0"/>
  </cellStyleXfs>
  <cellXfs count="8">
    <xf numFmtId="0" fontId="0" fillId="0" borderId="0" xfId="0"/>
    <xf numFmtId="0" fontId="2" fillId="2" borderId="0" xfId="0" applyFont="1" applyFill="1" applyAlignment="1">
      <alignment horizontal="right" vertical="center" wrapText="1"/>
    </xf>
    <xf numFmtId="3" fontId="2" fillId="2" borderId="0" xfId="0" applyNumberFormat="1" applyFont="1" applyFill="1" applyAlignment="1">
      <alignment horizontal="right" vertical="center" wrapText="1"/>
    </xf>
    <xf numFmtId="0" fontId="1" fillId="0" borderId="0" xfId="0" applyFont="1" applyAlignment="1">
      <alignment vertical="center"/>
    </xf>
    <xf numFmtId="0" fontId="3" fillId="2" borderId="0" xfId="0" applyFont="1" applyFill="1" applyAlignment="1">
      <alignment horizontal="right" vertical="center" wrapText="1"/>
    </xf>
    <xf numFmtId="0" fontId="4" fillId="2" borderId="0" xfId="0" applyFont="1" applyFill="1" applyAlignment="1">
      <alignment horizontal="right" vertical="center" wrapText="1"/>
    </xf>
    <xf numFmtId="3" fontId="4" fillId="2" borderId="0" xfId="0" applyNumberFormat="1" applyFont="1" applyFill="1" applyAlignment="1">
      <alignment horizontal="right" vertical="center" wrapText="1"/>
    </xf>
    <xf numFmtId="0" fontId="20" fillId="0" borderId="0" xfId="33"/>
  </cellXfs>
  <cellStyles count="69">
    <cellStyle name="20% - Accent1" xfId="16" builtinId="30" customBuiltin="1"/>
    <cellStyle name="20% - Accent1 2" xfId="53" xr:uid="{4DB1990D-AD90-495D-98AE-D06F9CEA111C}"/>
    <cellStyle name="20% - Accent2" xfId="19" builtinId="34" customBuiltin="1"/>
    <cellStyle name="20% - Accent2 2" xfId="55" xr:uid="{69228B91-B530-4032-A7C1-8DCEE1B28CBA}"/>
    <cellStyle name="20% - Accent3" xfId="22" builtinId="38" customBuiltin="1"/>
    <cellStyle name="20% - Accent3 2" xfId="57" xr:uid="{21F8D43B-8056-46A6-90C5-92DBF7AB9206}"/>
    <cellStyle name="20% - Accent4" xfId="25" builtinId="42" customBuiltin="1"/>
    <cellStyle name="20% - Accent4 2" xfId="59" xr:uid="{13D0D89A-9BD2-476C-9FDE-64EB12D9AA1A}"/>
    <cellStyle name="20% - Accent5" xfId="28" builtinId="46" customBuiltin="1"/>
    <cellStyle name="20% - Accent5 2" xfId="61" xr:uid="{ECC842AF-2A2D-4360-AEAF-5CC017A82917}"/>
    <cellStyle name="20% - Accent6" xfId="31" builtinId="50" customBuiltin="1"/>
    <cellStyle name="20% - Accent6 2" xfId="63" xr:uid="{70F4D654-D1FF-4956-B040-128163D0238A}"/>
    <cellStyle name="40% - Accent1" xfId="17" builtinId="31" customBuiltin="1"/>
    <cellStyle name="40% - Accent1 2" xfId="54" xr:uid="{6514E059-F03F-4E28-887C-0374D875C2B2}"/>
    <cellStyle name="40% - Accent2" xfId="20" builtinId="35" customBuiltin="1"/>
    <cellStyle name="40% - Accent2 2" xfId="56" xr:uid="{0340FEB0-B9B2-4A7D-9FA5-6F9E9320EB36}"/>
    <cellStyle name="40% - Accent3" xfId="23" builtinId="39" customBuiltin="1"/>
    <cellStyle name="40% - Accent3 2" xfId="58" xr:uid="{961285D7-E860-4ACF-A2B5-A70972B64F2B}"/>
    <cellStyle name="40% - Accent4" xfId="26" builtinId="43" customBuiltin="1"/>
    <cellStyle name="40% - Accent4 2" xfId="60" xr:uid="{C36D12F5-7CCA-43F7-BDEA-C2DC0C56B3A5}"/>
    <cellStyle name="40% - Accent5" xfId="29" builtinId="47" customBuiltin="1"/>
    <cellStyle name="40% - Accent5 2" xfId="62" xr:uid="{0C8B545C-DC10-42FD-8831-A6218F37DB45}"/>
    <cellStyle name="40% - Accent6" xfId="32" builtinId="51" customBuiltin="1"/>
    <cellStyle name="40% - Accent6 2" xfId="64" xr:uid="{F3E26317-ACB0-4F60-AE18-791F8811DC81}"/>
    <cellStyle name="60% - Accent1 2" xfId="36" xr:uid="{0F197535-954F-4E8D-B8D8-A2D831D2C231}"/>
    <cellStyle name="60% - Accent2 2" xfId="37" xr:uid="{C34DAE9F-1AFD-410E-B24E-C11A2B2D3D69}"/>
    <cellStyle name="60% - Accent3 2" xfId="38" xr:uid="{AD4CE54C-C132-4F4C-9C29-0B23E6327214}"/>
    <cellStyle name="60% - Accent4 2" xfId="39" xr:uid="{E78C2B54-8CDB-4749-9BA4-11785EDF3093}"/>
    <cellStyle name="60% - Accent5 2" xfId="40" xr:uid="{9FF5E589-9916-4921-AFB4-8FD305184786}"/>
    <cellStyle name="60% - Accent6 2" xfId="41" xr:uid="{C90D44B9-DE80-4AEF-8978-60D63BC793FC}"/>
    <cellStyle name="Accent1" xfId="15" builtinId="29" customBuiltin="1"/>
    <cellStyle name="Accent2" xfId="18" builtinId="33" customBuiltin="1"/>
    <cellStyle name="Accent3" xfId="21" builtinId="37" customBuiltin="1"/>
    <cellStyle name="Accent4" xfId="24" builtinId="41" customBuiltin="1"/>
    <cellStyle name="Accent5" xfId="27" builtinId="45" customBuiltin="1"/>
    <cellStyle name="Accent6" xfId="30" builtinId="49" customBuiltin="1"/>
    <cellStyle name="Bad" xfId="6" builtinId="27" customBuiltin="1"/>
    <cellStyle name="Calculation" xfId="9" builtinId="22" customBuiltin="1"/>
    <cellStyle name="Check Cell" xfId="11" builtinId="23" customBuiltin="1"/>
    <cellStyle name="Comma 2" xfId="49" xr:uid="{12292CB3-1D7E-49C8-A51C-809A6D470414}"/>
    <cellStyle name="Comma 2 2" xfId="68" xr:uid="{16E61405-72FE-42EE-947F-DF14236F9DBD}"/>
    <cellStyle name="Explanatory Text" xfId="13" builtinId="53" customBuiltin="1"/>
    <cellStyle name="Followed Hyperlink 2" xfId="48" xr:uid="{074A6F8A-1354-4638-9F97-A161312EF084}"/>
    <cellStyle name="Good" xfId="5" builtinId="26" customBuiltin="1"/>
    <cellStyle name="Heading 1" xfId="1" builtinId="16" customBuiltin="1"/>
    <cellStyle name="Heading 2" xfId="2" builtinId="17" customBuiltin="1"/>
    <cellStyle name="Heading 3" xfId="3" builtinId="18" customBuiltin="1"/>
    <cellStyle name="Heading 4" xfId="4" builtinId="19" customBuiltin="1"/>
    <cellStyle name="Hyperlink 2" xfId="47" xr:uid="{701D0D97-0C7B-4A83-BD16-91A709D5675F}"/>
    <cellStyle name="Input" xfId="7" builtinId="20" customBuiltin="1"/>
    <cellStyle name="Linked Cell" xfId="10" builtinId="24" customBuiltin="1"/>
    <cellStyle name="Neutral 2" xfId="35" xr:uid="{89ACB621-AAA0-4A3D-8A72-FD2EF84BEA3C}"/>
    <cellStyle name="Normal" xfId="0" builtinId="0"/>
    <cellStyle name="Normal 2" xfId="44" xr:uid="{B0DAC5ED-FD28-41BA-A4E4-21D4B6BBBB3C}"/>
    <cellStyle name="Normal 2 2" xfId="66" xr:uid="{6A4C5646-E653-462D-979E-F087472BE0EC}"/>
    <cellStyle name="Normal 3" xfId="45" xr:uid="{ED1A6E1B-C73F-4D0D-B104-34C4CE25E57B}"/>
    <cellStyle name="Normal 4" xfId="50" xr:uid="{EE9CC4BC-C2CA-4598-9B12-17FFADB61E84}"/>
    <cellStyle name="Normal 5" xfId="42" xr:uid="{6E6E112F-83D7-48A3-A18E-5F8A612AA5EB}"/>
    <cellStyle name="Normal 6" xfId="51" xr:uid="{8177AF67-547A-4393-BEB6-84250C2BA1D3}"/>
    <cellStyle name="Normal 7" xfId="65" xr:uid="{9AA01F95-2730-4FD0-975E-AB1DD3F3B7DC}"/>
    <cellStyle name="Normal 8" xfId="52" xr:uid="{06FF7EFC-8718-44FC-AE4D-75504B0F72A2}"/>
    <cellStyle name="Normal 9" xfId="33" xr:uid="{4277FBD6-A8FD-44E5-87E9-7B16D767CE0C}"/>
    <cellStyle name="Note 2" xfId="46" xr:uid="{3865E7C6-3EAB-47F1-ACE6-EEC2E6022C22}"/>
    <cellStyle name="Note 2 2" xfId="67" xr:uid="{05C83CA9-EA7F-463C-9646-D8214962CFF0}"/>
    <cellStyle name="Output" xfId="8" builtinId="21" customBuiltin="1"/>
    <cellStyle name="Percent 2" xfId="43" xr:uid="{B019BAE5-BFD2-4DD9-B374-D475E82C01D3}"/>
    <cellStyle name="Title 2" xfId="34" xr:uid="{ABAA37C1-5BA4-41CA-BB02-52842C1FF08C}"/>
    <cellStyle name="Total" xfId="14" builtinId="25" customBuiltin="1"/>
    <cellStyle name="Warning Text" xfId="12"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0AD7AF-78C8-4FC8-BE37-0CF583B0EAAE}">
  <dimension ref="A1:BD70"/>
  <sheetViews>
    <sheetView tabSelected="1" zoomScale="130" zoomScaleNormal="130" workbookViewId="0">
      <selection activeCell="K5" sqref="K5"/>
    </sheetView>
  </sheetViews>
  <sheetFormatPr defaultRowHeight="15" x14ac:dyDescent="0.25"/>
  <sheetData>
    <row r="1" spans="1:56" x14ac:dyDescent="0.25">
      <c r="A1" t="s">
        <v>21</v>
      </c>
    </row>
    <row r="2" spans="1:56" ht="120" x14ac:dyDescent="0.25">
      <c r="A2" s="1" t="s">
        <v>0</v>
      </c>
      <c r="B2" s="1" t="s">
        <v>19</v>
      </c>
      <c r="C2" s="4" t="s">
        <v>20</v>
      </c>
      <c r="D2" s="4" t="s">
        <v>22</v>
      </c>
      <c r="G2" t="s">
        <v>23</v>
      </c>
    </row>
    <row r="3" spans="1:56" x14ac:dyDescent="0.25">
      <c r="A3" s="1">
        <v>1981</v>
      </c>
      <c r="B3" s="2">
        <v>2785755</v>
      </c>
      <c r="C3" s="5">
        <v>0.12</v>
      </c>
      <c r="D3" s="5">
        <v>0.12</v>
      </c>
    </row>
    <row r="4" spans="1:56" x14ac:dyDescent="0.25">
      <c r="A4" s="1">
        <v>1982</v>
      </c>
      <c r="B4" s="1"/>
      <c r="C4" s="5"/>
      <c r="D4" s="5"/>
    </row>
    <row r="5" spans="1:56" x14ac:dyDescent="0.25">
      <c r="A5" s="1">
        <v>1983</v>
      </c>
      <c r="B5" s="2">
        <v>2278172</v>
      </c>
      <c r="C5" s="5">
        <v>0.16</v>
      </c>
      <c r="D5" s="5">
        <v>0.16</v>
      </c>
    </row>
    <row r="6" spans="1:56" x14ac:dyDescent="0.25">
      <c r="A6" s="1">
        <v>1984</v>
      </c>
      <c r="B6" s="2">
        <v>1757168</v>
      </c>
      <c r="C6" s="5">
        <v>0.18</v>
      </c>
      <c r="D6" s="5">
        <v>0.18</v>
      </c>
    </row>
    <row r="7" spans="1:56" x14ac:dyDescent="0.25">
      <c r="A7" s="1">
        <v>1985</v>
      </c>
      <c r="B7" s="2">
        <v>1175823</v>
      </c>
      <c r="C7" s="5">
        <v>0.14000000000000001</v>
      </c>
      <c r="D7" s="5">
        <v>0.14000000000000001</v>
      </c>
    </row>
    <row r="8" spans="1:56" x14ac:dyDescent="0.25">
      <c r="A8" s="1">
        <v>1986</v>
      </c>
      <c r="B8" s="2">
        <v>585755</v>
      </c>
      <c r="C8" s="5">
        <v>0.22</v>
      </c>
      <c r="D8" s="5">
        <v>0.22</v>
      </c>
    </row>
    <row r="9" spans="1:56" x14ac:dyDescent="0.25">
      <c r="A9" s="1">
        <v>1987</v>
      </c>
      <c r="B9" s="1"/>
      <c r="C9" s="5"/>
      <c r="D9" s="5"/>
    </row>
    <row r="10" spans="1:56" x14ac:dyDescent="0.25">
      <c r="A10" s="1">
        <v>1988</v>
      </c>
      <c r="B10" s="2">
        <v>301709</v>
      </c>
      <c r="C10" s="5">
        <v>0.17</v>
      </c>
      <c r="D10" s="5">
        <v>0.17</v>
      </c>
    </row>
    <row r="11" spans="1:56" x14ac:dyDescent="0.25">
      <c r="A11" s="1">
        <v>1989</v>
      </c>
      <c r="B11" s="2">
        <v>290461</v>
      </c>
      <c r="C11" s="5">
        <v>0.1</v>
      </c>
      <c r="D11" s="5">
        <v>0.1</v>
      </c>
    </row>
    <row r="12" spans="1:56" x14ac:dyDescent="0.25">
      <c r="A12" s="1">
        <v>1990</v>
      </c>
      <c r="B12" s="2">
        <v>374731</v>
      </c>
      <c r="C12" s="5">
        <v>0.17</v>
      </c>
      <c r="D12" s="5">
        <v>0.17</v>
      </c>
    </row>
    <row r="13" spans="1:56" x14ac:dyDescent="0.25">
      <c r="A13" s="1">
        <v>1991</v>
      </c>
      <c r="B13" s="2">
        <v>380331</v>
      </c>
      <c r="C13" s="5">
        <v>0.35</v>
      </c>
      <c r="D13" s="5">
        <v>0.35</v>
      </c>
      <c r="E13" s="7"/>
      <c r="F13" s="7"/>
      <c r="G13" s="7"/>
      <c r="H13" s="7"/>
      <c r="I13" s="7"/>
      <c r="J13" s="7"/>
      <c r="K13" s="7"/>
      <c r="L13" s="7"/>
      <c r="M13" s="7"/>
      <c r="N13" s="7"/>
      <c r="O13" s="7"/>
      <c r="P13" s="7"/>
      <c r="Q13" s="7"/>
      <c r="R13" s="7"/>
      <c r="S13" s="7"/>
      <c r="T13" s="7"/>
      <c r="U13" s="7"/>
      <c r="V13" s="7"/>
      <c r="W13" s="7"/>
      <c r="X13" s="7"/>
      <c r="Y13" s="7"/>
      <c r="Z13" s="7"/>
      <c r="AA13" s="7"/>
      <c r="AB13" s="7"/>
      <c r="AC13" s="7"/>
      <c r="AD13" s="7"/>
      <c r="AE13" s="7"/>
      <c r="AF13" s="7"/>
      <c r="AG13" s="7"/>
      <c r="AH13" s="7"/>
      <c r="AI13" s="7"/>
      <c r="AJ13" s="7"/>
      <c r="AK13" s="7"/>
      <c r="AL13" s="7"/>
      <c r="AM13" s="7"/>
      <c r="AN13" s="7"/>
      <c r="AO13" s="7"/>
      <c r="AP13" s="7"/>
      <c r="AQ13" s="7"/>
      <c r="AR13" s="7"/>
      <c r="AS13" s="7"/>
      <c r="AT13" s="7"/>
      <c r="AU13" s="7"/>
      <c r="AV13" s="7"/>
      <c r="AW13" s="7"/>
      <c r="AX13" s="7"/>
      <c r="AY13" s="7"/>
      <c r="AZ13" s="7"/>
      <c r="BA13" s="7"/>
      <c r="BB13" s="7"/>
      <c r="BC13" s="7"/>
      <c r="BD13" s="7"/>
    </row>
    <row r="14" spans="1:56" x14ac:dyDescent="0.25">
      <c r="A14" s="1">
        <v>1992</v>
      </c>
      <c r="B14" s="2">
        <v>713429</v>
      </c>
      <c r="C14" s="5">
        <v>0.04</v>
      </c>
      <c r="D14" s="7">
        <v>0.15041731667234656</v>
      </c>
      <c r="E14" s="7">
        <v>1992</v>
      </c>
      <c r="G14">
        <f>SQRT(LOG(1+D14^2))</f>
        <v>9.8572625227433666E-2</v>
      </c>
    </row>
    <row r="15" spans="1:56" x14ac:dyDescent="0.25">
      <c r="A15" s="1">
        <v>1993</v>
      </c>
      <c r="B15" s="2">
        <v>435753</v>
      </c>
      <c r="C15" s="5">
        <v>0.05</v>
      </c>
      <c r="D15" s="7">
        <v>0.18802164584043321</v>
      </c>
      <c r="E15" s="7">
        <v>1993</v>
      </c>
      <c r="G15">
        <f t="shared" ref="G15:G46" si="0">SQRT(LOG(1+D15^2))</f>
        <v>0.12283356707455217</v>
      </c>
    </row>
    <row r="16" spans="1:56" x14ac:dyDescent="0.25">
      <c r="A16" s="1">
        <v>1994</v>
      </c>
      <c r="B16" s="2">
        <v>492593</v>
      </c>
      <c r="C16" s="5">
        <v>0.05</v>
      </c>
      <c r="D16" s="7">
        <v>0.18802164584043321</v>
      </c>
      <c r="E16" s="7">
        <v>1994</v>
      </c>
      <c r="G16">
        <f t="shared" si="0"/>
        <v>0.12283356707455217</v>
      </c>
    </row>
    <row r="17" spans="1:7" x14ac:dyDescent="0.25">
      <c r="A17" s="1">
        <v>1995</v>
      </c>
      <c r="B17" s="2">
        <v>763612</v>
      </c>
      <c r="C17" s="5">
        <v>0.05</v>
      </c>
      <c r="D17" s="7">
        <v>0.18802164584043321</v>
      </c>
      <c r="E17" s="7">
        <v>1995</v>
      </c>
      <c r="G17">
        <f t="shared" si="0"/>
        <v>0.12283356707455217</v>
      </c>
    </row>
    <row r="18" spans="1:7" x14ac:dyDescent="0.25">
      <c r="A18" s="1">
        <v>1996</v>
      </c>
      <c r="B18" s="2">
        <v>777172</v>
      </c>
      <c r="C18" s="5">
        <v>0.04</v>
      </c>
      <c r="D18" s="7">
        <v>0.15041731667234656</v>
      </c>
      <c r="E18" s="7">
        <v>1996</v>
      </c>
      <c r="G18">
        <f t="shared" si="0"/>
        <v>9.8572625227433666E-2</v>
      </c>
    </row>
    <row r="19" spans="1:7" x14ac:dyDescent="0.25">
      <c r="A19" s="1">
        <v>1997</v>
      </c>
      <c r="B19" s="2">
        <v>583017</v>
      </c>
      <c r="C19" s="5">
        <v>0.04</v>
      </c>
      <c r="D19" s="7">
        <v>0.15041731667234656</v>
      </c>
      <c r="E19" s="7">
        <v>1997</v>
      </c>
      <c r="G19">
        <f t="shared" si="0"/>
        <v>9.8572625227433666E-2</v>
      </c>
    </row>
    <row r="20" spans="1:7" x14ac:dyDescent="0.25">
      <c r="A20" s="1">
        <v>1998</v>
      </c>
      <c r="B20" s="2">
        <v>504774</v>
      </c>
      <c r="C20" s="5">
        <v>0.04</v>
      </c>
      <c r="D20" s="7">
        <v>0.15041731667234656</v>
      </c>
      <c r="E20" s="7">
        <v>1998</v>
      </c>
      <c r="G20">
        <f t="shared" si="0"/>
        <v>9.8572625227433666E-2</v>
      </c>
    </row>
    <row r="21" spans="1:7" x14ac:dyDescent="0.25">
      <c r="A21" s="1">
        <v>1999</v>
      </c>
      <c r="B21" s="1"/>
      <c r="C21" s="5"/>
      <c r="D21" s="7"/>
      <c r="E21" s="7"/>
      <c r="G21">
        <f t="shared" si="0"/>
        <v>0</v>
      </c>
    </row>
    <row r="22" spans="1:7" x14ac:dyDescent="0.25">
      <c r="A22" s="1">
        <v>2000</v>
      </c>
      <c r="B22" s="2">
        <v>448638</v>
      </c>
      <c r="C22" s="5">
        <v>0.05</v>
      </c>
      <c r="D22" s="7">
        <v>0.18802164584043321</v>
      </c>
      <c r="E22" s="7">
        <v>2000</v>
      </c>
      <c r="G22">
        <f t="shared" si="0"/>
        <v>0.12283356707455217</v>
      </c>
    </row>
    <row r="23" spans="1:7" x14ac:dyDescent="0.25">
      <c r="A23" s="1">
        <v>2001</v>
      </c>
      <c r="B23" s="2">
        <v>432749</v>
      </c>
      <c r="C23" s="5">
        <v>0.05</v>
      </c>
      <c r="D23" s="7">
        <v>0.18802164584043321</v>
      </c>
      <c r="E23" s="7">
        <v>2001</v>
      </c>
      <c r="G23">
        <f t="shared" si="0"/>
        <v>0.12283356707455217</v>
      </c>
    </row>
    <row r="24" spans="1:7" x14ac:dyDescent="0.25">
      <c r="A24" s="1">
        <v>2002</v>
      </c>
      <c r="B24" s="2">
        <v>256743</v>
      </c>
      <c r="C24" s="5">
        <v>7.0000000000000007E-2</v>
      </c>
      <c r="D24" s="7">
        <v>0.26323030417660648</v>
      </c>
      <c r="E24" s="7">
        <v>2002</v>
      </c>
      <c r="G24">
        <f t="shared" si="0"/>
        <v>0.17057427626383034</v>
      </c>
    </row>
    <row r="25" spans="1:7" x14ac:dyDescent="0.25">
      <c r="A25" s="1">
        <v>2003</v>
      </c>
      <c r="B25" s="2">
        <v>317269</v>
      </c>
      <c r="C25" s="5">
        <v>0.05</v>
      </c>
      <c r="D25" s="7">
        <v>0.18802164584043321</v>
      </c>
      <c r="E25" s="7">
        <v>2003</v>
      </c>
      <c r="G25">
        <f t="shared" si="0"/>
        <v>0.12283356707455217</v>
      </c>
    </row>
    <row r="26" spans="1:7" x14ac:dyDescent="0.25">
      <c r="A26" s="1">
        <v>2004</v>
      </c>
      <c r="B26" s="2">
        <v>330753</v>
      </c>
      <c r="C26" s="5">
        <v>0.09</v>
      </c>
      <c r="D26" s="7">
        <v>0.33843896251277972</v>
      </c>
      <c r="E26" s="7">
        <v>2004</v>
      </c>
      <c r="G26">
        <f t="shared" si="0"/>
        <v>0.21701618029109554</v>
      </c>
    </row>
    <row r="27" spans="1:7" x14ac:dyDescent="0.25">
      <c r="A27" s="1">
        <v>2005</v>
      </c>
      <c r="B27" s="2">
        <v>356117</v>
      </c>
      <c r="C27" s="5">
        <v>0.04</v>
      </c>
      <c r="D27" s="7">
        <v>0.15041731667234656</v>
      </c>
      <c r="E27" s="7">
        <v>2005</v>
      </c>
      <c r="G27">
        <f t="shared" si="0"/>
        <v>9.8572625227433666E-2</v>
      </c>
    </row>
    <row r="28" spans="1:7" x14ac:dyDescent="0.25">
      <c r="A28" s="1">
        <v>2006</v>
      </c>
      <c r="B28" s="2">
        <v>293609</v>
      </c>
      <c r="C28" s="5">
        <v>0.04</v>
      </c>
      <c r="D28" s="7">
        <v>0.15041731667234656</v>
      </c>
      <c r="E28" s="7">
        <v>2006</v>
      </c>
      <c r="G28">
        <f t="shared" si="0"/>
        <v>9.8572625227433666E-2</v>
      </c>
    </row>
    <row r="29" spans="1:7" x14ac:dyDescent="0.25">
      <c r="A29" s="1">
        <v>2007</v>
      </c>
      <c r="B29" s="2">
        <v>180881</v>
      </c>
      <c r="C29" s="5">
        <v>0.06</v>
      </c>
      <c r="D29" s="7">
        <v>0.2256259750085198</v>
      </c>
      <c r="E29" s="7">
        <v>2007</v>
      </c>
      <c r="G29">
        <f t="shared" si="0"/>
        <v>0.14684794228250528</v>
      </c>
    </row>
    <row r="30" spans="1:7" x14ac:dyDescent="0.25">
      <c r="A30" s="1">
        <v>2008</v>
      </c>
      <c r="B30" s="2">
        <v>197922</v>
      </c>
      <c r="C30" s="5">
        <v>0.06</v>
      </c>
      <c r="D30" s="7">
        <v>0.2256259750085198</v>
      </c>
      <c r="E30" s="7">
        <v>2008</v>
      </c>
      <c r="G30">
        <f t="shared" si="0"/>
        <v>0.14684794228250528</v>
      </c>
    </row>
    <row r="31" spans="1:7" x14ac:dyDescent="0.25">
      <c r="A31" s="1">
        <v>2009</v>
      </c>
      <c r="B31" s="2">
        <v>257422</v>
      </c>
      <c r="C31" s="5">
        <v>0.06</v>
      </c>
      <c r="D31" s="7">
        <v>0.2256259750085198</v>
      </c>
      <c r="E31" s="7">
        <v>2009</v>
      </c>
      <c r="G31">
        <f t="shared" si="0"/>
        <v>0.14684794228250528</v>
      </c>
    </row>
    <row r="32" spans="1:7" x14ac:dyDescent="0.25">
      <c r="A32" s="1">
        <v>2010</v>
      </c>
      <c r="B32" s="2">
        <v>421575</v>
      </c>
      <c r="C32" s="5">
        <v>0.03</v>
      </c>
      <c r="D32" s="7">
        <v>0.1128129875042599</v>
      </c>
      <c r="E32" s="7">
        <v>2010</v>
      </c>
      <c r="G32">
        <f t="shared" si="0"/>
        <v>7.4109986882779991E-2</v>
      </c>
    </row>
    <row r="33" spans="1:7" x14ac:dyDescent="0.25">
      <c r="A33" s="1">
        <v>2011</v>
      </c>
      <c r="B33" s="1"/>
      <c r="C33" s="5"/>
      <c r="D33" s="7"/>
      <c r="E33" s="7"/>
      <c r="G33">
        <f t="shared" si="0"/>
        <v>0</v>
      </c>
    </row>
    <row r="34" spans="1:7" x14ac:dyDescent="0.25">
      <c r="A34" s="1">
        <v>2012</v>
      </c>
      <c r="B34" s="2">
        <v>334061</v>
      </c>
      <c r="C34" s="5">
        <v>0.08</v>
      </c>
      <c r="D34" s="7">
        <v>0.30083463334469313</v>
      </c>
      <c r="E34" s="7">
        <v>2012</v>
      </c>
      <c r="G34">
        <f t="shared" si="0"/>
        <v>0.19397489008106025</v>
      </c>
    </row>
    <row r="35" spans="1:7" x14ac:dyDescent="0.25">
      <c r="A35" s="1">
        <v>2013</v>
      </c>
      <c r="B35" s="2">
        <v>807838</v>
      </c>
      <c r="C35" s="5">
        <v>0.05</v>
      </c>
      <c r="D35" s="7">
        <v>0.18802164584043321</v>
      </c>
      <c r="E35" s="7">
        <v>2013</v>
      </c>
      <c r="G35">
        <f t="shared" si="0"/>
        <v>0.12283356707455217</v>
      </c>
    </row>
    <row r="36" spans="1:7" x14ac:dyDescent="0.25">
      <c r="A36" s="1">
        <v>2014</v>
      </c>
      <c r="B36" s="2">
        <v>827338</v>
      </c>
      <c r="C36" s="5">
        <v>0.05</v>
      </c>
      <c r="D36" s="7">
        <v>0.18802164584043321</v>
      </c>
      <c r="E36" s="7">
        <v>2014</v>
      </c>
      <c r="G36">
        <f t="shared" si="0"/>
        <v>0.12283356707455217</v>
      </c>
    </row>
    <row r="37" spans="1:7" x14ac:dyDescent="0.25">
      <c r="A37" s="1">
        <v>2015</v>
      </c>
      <c r="B37" s="2">
        <v>847970</v>
      </c>
      <c r="C37" s="5">
        <v>0.04</v>
      </c>
      <c r="D37" s="7">
        <v>0.15041731667234656</v>
      </c>
      <c r="E37" s="7">
        <v>2015</v>
      </c>
      <c r="G37">
        <f t="shared" si="0"/>
        <v>9.8572625227433666E-2</v>
      </c>
    </row>
    <row r="38" spans="1:7" x14ac:dyDescent="0.25">
      <c r="A38" s="1">
        <v>2016</v>
      </c>
      <c r="B38" s="2">
        <v>667003</v>
      </c>
      <c r="C38" s="5">
        <v>7.0000000000000007E-2</v>
      </c>
      <c r="D38" s="7">
        <v>0.26323030417660648</v>
      </c>
      <c r="E38" s="7">
        <v>2016</v>
      </c>
      <c r="G38">
        <f t="shared" si="0"/>
        <v>0.17057427626383034</v>
      </c>
    </row>
    <row r="39" spans="1:7" x14ac:dyDescent="0.25">
      <c r="A39" s="1">
        <v>2017</v>
      </c>
      <c r="B39" s="2">
        <v>1465229</v>
      </c>
      <c r="C39" s="5">
        <v>0.04</v>
      </c>
      <c r="D39" s="7">
        <v>0.15041731667234656</v>
      </c>
      <c r="E39" s="7">
        <v>2017</v>
      </c>
      <c r="G39">
        <f t="shared" si="0"/>
        <v>9.8572625227433666E-2</v>
      </c>
    </row>
    <row r="40" spans="1:7" x14ac:dyDescent="0.25">
      <c r="A40" s="1">
        <v>2018</v>
      </c>
      <c r="B40" s="2">
        <v>1320867</v>
      </c>
      <c r="C40" s="5">
        <v>0.04</v>
      </c>
      <c r="D40" s="7">
        <v>0.15041731667234656</v>
      </c>
      <c r="E40" s="7">
        <v>2018</v>
      </c>
      <c r="G40">
        <f t="shared" si="0"/>
        <v>9.8572625227433666E-2</v>
      </c>
    </row>
    <row r="41" spans="1:7" x14ac:dyDescent="0.25">
      <c r="A41" s="1">
        <v>2019</v>
      </c>
      <c r="B41" s="2">
        <v>1281083</v>
      </c>
      <c r="C41" s="5">
        <v>7.0000000000000007E-2</v>
      </c>
      <c r="D41" s="7">
        <v>0.26323030417660648</v>
      </c>
      <c r="E41" s="7">
        <v>2019</v>
      </c>
      <c r="G41">
        <f t="shared" si="0"/>
        <v>0.17057427626383034</v>
      </c>
    </row>
    <row r="42" spans="1:7" x14ac:dyDescent="0.25">
      <c r="A42" s="1">
        <v>2020</v>
      </c>
      <c r="B42" s="2">
        <v>456713</v>
      </c>
      <c r="C42" s="5">
        <v>0.05</v>
      </c>
      <c r="D42" s="7">
        <v>0.18802164584043321</v>
      </c>
      <c r="E42" s="7">
        <v>2020</v>
      </c>
      <c r="G42">
        <f t="shared" si="0"/>
        <v>0.12283356707455217</v>
      </c>
    </row>
    <row r="43" spans="1:7" x14ac:dyDescent="0.25">
      <c r="A43" s="1">
        <v>2021</v>
      </c>
      <c r="B43" s="2">
        <v>526974</v>
      </c>
      <c r="C43" s="5">
        <v>0.03</v>
      </c>
      <c r="D43" s="7">
        <v>0.10997889122836826</v>
      </c>
      <c r="E43" s="7">
        <v>2021</v>
      </c>
      <c r="G43">
        <f t="shared" si="0"/>
        <v>7.2259479126422055E-2</v>
      </c>
    </row>
    <row r="44" spans="1:7" x14ac:dyDescent="0.25">
      <c r="A44" s="1">
        <v>2022</v>
      </c>
      <c r="B44" s="2">
        <v>365411</v>
      </c>
      <c r="C44" s="5">
        <v>0.1</v>
      </c>
      <c r="D44" s="7">
        <v>0.38920480688969672</v>
      </c>
      <c r="E44" s="7">
        <v>2022</v>
      </c>
      <c r="G44">
        <f t="shared" si="0"/>
        <v>0.24750059210243197</v>
      </c>
    </row>
    <row r="45" spans="1:7" x14ac:dyDescent="0.25">
      <c r="A45" s="1">
        <v>2023</v>
      </c>
      <c r="B45" s="2">
        <v>258829</v>
      </c>
      <c r="C45" s="5">
        <v>0.05</v>
      </c>
      <c r="D45" s="7">
        <v>0.17297991417319855</v>
      </c>
      <c r="E45" s="7">
        <v>2023</v>
      </c>
      <c r="G45">
        <f t="shared" si="0"/>
        <v>0.11315633664080717</v>
      </c>
    </row>
    <row r="46" spans="1:7" x14ac:dyDescent="0.25">
      <c r="A46" s="1">
        <v>2024</v>
      </c>
      <c r="B46" s="2">
        <v>289973</v>
      </c>
      <c r="C46" s="5">
        <v>7.0000000000000007E-2</v>
      </c>
      <c r="D46" s="7">
        <v>0.26323030417660648</v>
      </c>
      <c r="E46" s="7">
        <v>2024</v>
      </c>
      <c r="G46">
        <f t="shared" si="0"/>
        <v>0.17057427626383034</v>
      </c>
    </row>
    <row r="47" spans="1:7" x14ac:dyDescent="0.25">
      <c r="D47" s="7"/>
    </row>
    <row r="48" spans="1:7" x14ac:dyDescent="0.25">
      <c r="D48" s="7"/>
    </row>
    <row r="49" spans="4:4" x14ac:dyDescent="0.25">
      <c r="D49" s="7"/>
    </row>
    <row r="50" spans="4:4" x14ac:dyDescent="0.25">
      <c r="D50" s="7"/>
    </row>
    <row r="51" spans="4:4" x14ac:dyDescent="0.25">
      <c r="D51" s="7"/>
    </row>
    <row r="52" spans="4:4" x14ac:dyDescent="0.25">
      <c r="D52" s="7"/>
    </row>
    <row r="53" spans="4:4" x14ac:dyDescent="0.25">
      <c r="D53" s="7"/>
    </row>
    <row r="54" spans="4:4" x14ac:dyDescent="0.25">
      <c r="D54" s="7"/>
    </row>
    <row r="55" spans="4:4" x14ac:dyDescent="0.25">
      <c r="D55" s="7"/>
    </row>
    <row r="56" spans="4:4" x14ac:dyDescent="0.25">
      <c r="D56" s="7"/>
    </row>
    <row r="57" spans="4:4" x14ac:dyDescent="0.25">
      <c r="D57" s="7"/>
    </row>
    <row r="58" spans="4:4" x14ac:dyDescent="0.25">
      <c r="D58" s="7"/>
    </row>
    <row r="59" spans="4:4" x14ac:dyDescent="0.25">
      <c r="D59" s="7"/>
    </row>
    <row r="60" spans="4:4" x14ac:dyDescent="0.25">
      <c r="D60" s="7"/>
    </row>
    <row r="61" spans="4:4" x14ac:dyDescent="0.25">
      <c r="D61" s="7"/>
    </row>
    <row r="62" spans="4:4" x14ac:dyDescent="0.25">
      <c r="D62" s="7"/>
    </row>
    <row r="63" spans="4:4" x14ac:dyDescent="0.25">
      <c r="D63" s="7"/>
    </row>
    <row r="64" spans="4:4" x14ac:dyDescent="0.25">
      <c r="D64" s="7"/>
    </row>
    <row r="65" spans="4:4" x14ac:dyDescent="0.25">
      <c r="D65" s="7"/>
    </row>
    <row r="66" spans="4:4" x14ac:dyDescent="0.25">
      <c r="D66" s="7"/>
    </row>
    <row r="67" spans="4:4" x14ac:dyDescent="0.25">
      <c r="D67" s="7"/>
    </row>
    <row r="68" spans="4:4" x14ac:dyDescent="0.25">
      <c r="D68" s="7"/>
    </row>
    <row r="69" spans="4:4" x14ac:dyDescent="0.25">
      <c r="D69" s="7"/>
    </row>
    <row r="70" spans="4:4" x14ac:dyDescent="0.25">
      <c r="D70" s="7"/>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1769A9-E6AF-458F-AEA2-39AE398C5D0A}">
  <dimension ref="A1:F46"/>
  <sheetViews>
    <sheetView workbookViewId="0">
      <selection activeCell="A2" sqref="A2:B46"/>
    </sheetView>
  </sheetViews>
  <sheetFormatPr defaultRowHeight="15" x14ac:dyDescent="0.25"/>
  <sheetData>
    <row r="1" spans="1:6" x14ac:dyDescent="0.25">
      <c r="A1" s="3" t="s">
        <v>6</v>
      </c>
    </row>
    <row r="2" spans="1:6" ht="51" x14ac:dyDescent="0.25">
      <c r="A2" s="1" t="s">
        <v>0</v>
      </c>
      <c r="B2" s="1" t="s">
        <v>1</v>
      </c>
      <c r="C2" s="1" t="s">
        <v>2</v>
      </c>
      <c r="D2" s="1" t="s">
        <v>3</v>
      </c>
      <c r="E2" s="1" t="s">
        <v>4</v>
      </c>
      <c r="F2" s="1" t="s">
        <v>5</v>
      </c>
    </row>
    <row r="3" spans="1:6" x14ac:dyDescent="0.25">
      <c r="A3" s="1">
        <v>1981</v>
      </c>
      <c r="B3" s="2">
        <v>2785755</v>
      </c>
      <c r="C3" s="1"/>
      <c r="D3" s="1"/>
      <c r="E3" s="2">
        <v>1788908</v>
      </c>
      <c r="F3" s="1"/>
    </row>
    <row r="4" spans="1:6" x14ac:dyDescent="0.25">
      <c r="A4" s="1">
        <v>1982</v>
      </c>
      <c r="B4" s="1"/>
      <c r="C4" s="1"/>
      <c r="D4" s="1"/>
      <c r="E4" s="1"/>
      <c r="F4" s="1"/>
    </row>
    <row r="5" spans="1:6" x14ac:dyDescent="0.25">
      <c r="A5" s="1">
        <v>1983</v>
      </c>
      <c r="B5" s="2">
        <v>2278172</v>
      </c>
      <c r="C5" s="1"/>
      <c r="D5" s="1"/>
      <c r="E5" s="1"/>
      <c r="F5" s="1"/>
    </row>
    <row r="6" spans="1:6" x14ac:dyDescent="0.25">
      <c r="A6" s="1">
        <v>1984</v>
      </c>
      <c r="B6" s="2">
        <v>1757168</v>
      </c>
      <c r="C6" s="1"/>
      <c r="D6" s="2">
        <v>726229</v>
      </c>
      <c r="E6" s="1"/>
      <c r="F6" s="1"/>
    </row>
    <row r="7" spans="1:6" x14ac:dyDescent="0.25">
      <c r="A7" s="1">
        <v>1985</v>
      </c>
      <c r="B7" s="2">
        <v>1175823</v>
      </c>
      <c r="C7" s="1"/>
      <c r="D7" s="1"/>
      <c r="E7" s="2">
        <v>768419</v>
      </c>
      <c r="F7" s="1"/>
    </row>
    <row r="8" spans="1:6" x14ac:dyDescent="0.25">
      <c r="A8" s="1">
        <v>1986</v>
      </c>
      <c r="B8" s="2">
        <v>585755</v>
      </c>
      <c r="C8" s="1"/>
      <c r="D8" s="1"/>
      <c r="E8" s="2">
        <v>375907</v>
      </c>
      <c r="F8" s="1"/>
    </row>
    <row r="9" spans="1:6" x14ac:dyDescent="0.25">
      <c r="A9" s="1">
        <v>1987</v>
      </c>
      <c r="B9" s="1"/>
      <c r="C9" s="1"/>
      <c r="D9" s="2">
        <v>737900</v>
      </c>
      <c r="E9" s="2">
        <v>484455</v>
      </c>
      <c r="F9" s="1"/>
    </row>
    <row r="10" spans="1:6" x14ac:dyDescent="0.25">
      <c r="A10" s="1">
        <v>1988</v>
      </c>
      <c r="B10" s="2">
        <v>301709</v>
      </c>
      <c r="C10" s="1"/>
      <c r="D10" s="1"/>
      <c r="E10" s="2">
        <v>504418</v>
      </c>
      <c r="F10" s="1"/>
    </row>
    <row r="11" spans="1:6" x14ac:dyDescent="0.25">
      <c r="A11" s="1">
        <v>1989</v>
      </c>
      <c r="B11" s="2">
        <v>290461</v>
      </c>
      <c r="C11" s="1"/>
      <c r="D11" s="1"/>
      <c r="E11" s="2">
        <v>433894</v>
      </c>
      <c r="F11" s="2">
        <v>214434</v>
      </c>
    </row>
    <row r="12" spans="1:6" x14ac:dyDescent="0.25">
      <c r="A12" s="1">
        <v>1990</v>
      </c>
      <c r="B12" s="2">
        <v>374731</v>
      </c>
      <c r="C12" s="1"/>
      <c r="D12" s="2">
        <v>817040</v>
      </c>
      <c r="E12" s="2">
        <v>381475</v>
      </c>
      <c r="F12" s="2">
        <v>114451</v>
      </c>
    </row>
    <row r="13" spans="1:6" x14ac:dyDescent="0.25">
      <c r="A13" s="1">
        <v>1991</v>
      </c>
      <c r="B13" s="2">
        <v>380331</v>
      </c>
      <c r="C13" s="1"/>
      <c r="D13" s="1"/>
      <c r="E13" s="2">
        <v>370000</v>
      </c>
      <c r="F13" s="1"/>
    </row>
    <row r="14" spans="1:6" x14ac:dyDescent="0.25">
      <c r="A14" s="1">
        <v>1992</v>
      </c>
      <c r="B14" s="2">
        <v>713429</v>
      </c>
      <c r="C14" s="1"/>
      <c r="D14" s="1"/>
      <c r="E14" s="2">
        <v>616000</v>
      </c>
      <c r="F14" s="2">
        <v>127359</v>
      </c>
    </row>
    <row r="15" spans="1:6" x14ac:dyDescent="0.25">
      <c r="A15" s="1">
        <v>1993</v>
      </c>
      <c r="B15" s="2">
        <v>435753</v>
      </c>
      <c r="C15" s="1"/>
      <c r="D15" s="2">
        <v>747942</v>
      </c>
      <c r="E15" s="1"/>
      <c r="F15" s="2">
        <v>132849</v>
      </c>
    </row>
    <row r="16" spans="1:6" x14ac:dyDescent="0.25">
      <c r="A16" s="1">
        <v>1994</v>
      </c>
      <c r="B16" s="2">
        <v>492593</v>
      </c>
      <c r="C16" s="1"/>
      <c r="D16" s="1"/>
      <c r="E16" s="1"/>
      <c r="F16" s="2">
        <v>103420</v>
      </c>
    </row>
    <row r="17" spans="1:6" x14ac:dyDescent="0.25">
      <c r="A17" s="1">
        <v>1995</v>
      </c>
      <c r="B17" s="2">
        <v>763612</v>
      </c>
      <c r="C17" s="1"/>
      <c r="D17" s="1"/>
      <c r="E17" s="1"/>
      <c r="F17" s="1"/>
    </row>
    <row r="18" spans="1:6" x14ac:dyDescent="0.25">
      <c r="A18" s="1">
        <v>1996</v>
      </c>
      <c r="B18" s="2">
        <v>777172</v>
      </c>
      <c r="C18" s="1"/>
      <c r="D18" s="2">
        <v>659604</v>
      </c>
      <c r="E18" s="1"/>
      <c r="F18" s="2">
        <v>122477</v>
      </c>
    </row>
    <row r="19" spans="1:6" x14ac:dyDescent="0.25">
      <c r="A19" s="1">
        <v>1997</v>
      </c>
      <c r="B19" s="2">
        <v>583017</v>
      </c>
      <c r="C19" s="1"/>
      <c r="D19" s="1"/>
      <c r="E19" s="1"/>
      <c r="F19" s="2">
        <v>93728</v>
      </c>
    </row>
    <row r="20" spans="1:6" x14ac:dyDescent="0.25">
      <c r="A20" s="1">
        <v>1998</v>
      </c>
      <c r="B20" s="2">
        <v>504774</v>
      </c>
      <c r="C20" s="1"/>
      <c r="D20" s="1"/>
      <c r="E20" s="1"/>
      <c r="F20" s="2">
        <v>81215</v>
      </c>
    </row>
    <row r="21" spans="1:6" x14ac:dyDescent="0.25">
      <c r="A21" s="1">
        <v>1999</v>
      </c>
      <c r="B21" s="1"/>
      <c r="C21" s="1"/>
      <c r="D21" s="2">
        <v>601969</v>
      </c>
      <c r="E21" s="1"/>
      <c r="F21" s="2">
        <v>53587</v>
      </c>
    </row>
    <row r="22" spans="1:6" x14ac:dyDescent="0.25">
      <c r="A22" s="1">
        <v>2000</v>
      </c>
      <c r="B22" s="2">
        <v>448638</v>
      </c>
      <c r="C22" s="1"/>
      <c r="D22" s="1"/>
      <c r="E22" s="1"/>
      <c r="F22" s="2">
        <v>102871</v>
      </c>
    </row>
    <row r="23" spans="1:6" x14ac:dyDescent="0.25">
      <c r="A23" s="1">
        <v>2001</v>
      </c>
      <c r="B23" s="2">
        <v>432749</v>
      </c>
      <c r="C23" s="1"/>
      <c r="D23" s="2">
        <v>220141</v>
      </c>
      <c r="E23" s="1"/>
      <c r="F23" s="2">
        <v>86967</v>
      </c>
    </row>
    <row r="24" spans="1:6" x14ac:dyDescent="0.25">
      <c r="A24" s="1">
        <v>2002</v>
      </c>
      <c r="B24" s="2">
        <v>256743</v>
      </c>
      <c r="C24" s="1"/>
      <c r="D24" s="1"/>
      <c r="E24" s="1"/>
      <c r="F24" s="2">
        <v>96237</v>
      </c>
    </row>
    <row r="25" spans="1:6" x14ac:dyDescent="0.25">
      <c r="A25" s="1">
        <v>2003</v>
      </c>
      <c r="B25" s="2">
        <v>317269</v>
      </c>
      <c r="C25" s="1"/>
      <c r="D25" s="2">
        <v>394333</v>
      </c>
      <c r="E25" s="1"/>
      <c r="F25" s="2">
        <v>66989</v>
      </c>
    </row>
    <row r="26" spans="1:6" x14ac:dyDescent="0.25">
      <c r="A26" s="1">
        <v>2004</v>
      </c>
      <c r="B26" s="2">
        <v>330753</v>
      </c>
      <c r="C26" s="1"/>
      <c r="D26" s="1"/>
      <c r="E26" s="1"/>
      <c r="F26" s="2">
        <v>99358</v>
      </c>
    </row>
    <row r="27" spans="1:6" x14ac:dyDescent="0.25">
      <c r="A27" s="1">
        <v>2005</v>
      </c>
      <c r="B27" s="2">
        <v>356117</v>
      </c>
      <c r="C27" s="1"/>
      <c r="D27" s="2">
        <v>354209</v>
      </c>
      <c r="E27" s="1"/>
      <c r="F27" s="2">
        <v>79089</v>
      </c>
    </row>
    <row r="28" spans="1:6" x14ac:dyDescent="0.25">
      <c r="A28" s="1">
        <v>2006</v>
      </c>
      <c r="B28" s="2">
        <v>293609</v>
      </c>
      <c r="C28" s="1"/>
      <c r="D28" s="1"/>
      <c r="E28" s="1"/>
      <c r="F28" s="2">
        <v>69044</v>
      </c>
    </row>
    <row r="29" spans="1:6" x14ac:dyDescent="0.25">
      <c r="A29" s="1">
        <v>2007</v>
      </c>
      <c r="B29" s="2">
        <v>180881</v>
      </c>
      <c r="C29" s="1"/>
      <c r="D29" s="2">
        <v>278541</v>
      </c>
      <c r="E29" s="1"/>
      <c r="F29" s="2">
        <v>76674</v>
      </c>
    </row>
    <row r="30" spans="1:6" x14ac:dyDescent="0.25">
      <c r="A30" s="1">
        <v>2008</v>
      </c>
      <c r="B30" s="2">
        <v>197922</v>
      </c>
      <c r="C30" s="1"/>
      <c r="D30" s="1"/>
      <c r="E30" s="1"/>
      <c r="F30" s="2">
        <v>83476</v>
      </c>
    </row>
    <row r="31" spans="1:6" x14ac:dyDescent="0.25">
      <c r="A31" s="1">
        <v>2009</v>
      </c>
      <c r="B31" s="2">
        <v>257422</v>
      </c>
      <c r="C31" s="1"/>
      <c r="D31" s="2">
        <v>662557</v>
      </c>
      <c r="E31" s="1"/>
      <c r="F31" s="2">
        <v>145438</v>
      </c>
    </row>
    <row r="32" spans="1:6" x14ac:dyDescent="0.25">
      <c r="A32" s="1">
        <v>2010</v>
      </c>
      <c r="B32" s="2">
        <v>421575</v>
      </c>
      <c r="C32" s="1"/>
      <c r="D32" s="1"/>
      <c r="E32" s="1"/>
      <c r="F32" s="2">
        <v>124110</v>
      </c>
    </row>
    <row r="33" spans="1:6" x14ac:dyDescent="0.25">
      <c r="A33" s="1">
        <v>2011</v>
      </c>
      <c r="B33" s="1"/>
      <c r="C33" s="1"/>
      <c r="D33" s="2">
        <v>660207</v>
      </c>
      <c r="E33" s="1"/>
      <c r="F33" s="2">
        <v>100839</v>
      </c>
    </row>
    <row r="34" spans="1:6" x14ac:dyDescent="0.25">
      <c r="A34" s="1">
        <v>2012</v>
      </c>
      <c r="B34" s="2">
        <v>334061</v>
      </c>
      <c r="C34" s="1"/>
      <c r="D34" s="1"/>
      <c r="E34" s="1"/>
      <c r="F34" s="2">
        <v>172007</v>
      </c>
    </row>
    <row r="35" spans="1:6" x14ac:dyDescent="0.25">
      <c r="A35" s="1">
        <v>2013</v>
      </c>
      <c r="B35" s="2">
        <v>807838</v>
      </c>
      <c r="C35" s="2">
        <v>884049</v>
      </c>
      <c r="D35" s="2">
        <v>947877</v>
      </c>
      <c r="E35" s="1"/>
      <c r="F35" s="2">
        <v>102406</v>
      </c>
    </row>
    <row r="36" spans="1:6" x14ac:dyDescent="0.25">
      <c r="A36" s="1">
        <v>2014</v>
      </c>
      <c r="B36" s="2">
        <v>827338</v>
      </c>
      <c r="C36" s="1"/>
      <c r="D36" s="1"/>
      <c r="E36" s="1"/>
      <c r="F36" s="2">
        <v>100158</v>
      </c>
    </row>
    <row r="37" spans="1:6" x14ac:dyDescent="0.25">
      <c r="A37" s="1">
        <v>2015</v>
      </c>
      <c r="B37" s="2">
        <v>847970</v>
      </c>
      <c r="C37" s="2">
        <v>1606171</v>
      </c>
      <c r="D37" s="2">
        <v>707774</v>
      </c>
      <c r="E37" s="1"/>
      <c r="F37" s="2">
        <v>42277</v>
      </c>
    </row>
    <row r="38" spans="1:6" x14ac:dyDescent="0.25">
      <c r="A38" s="1">
        <v>2016</v>
      </c>
      <c r="B38" s="2">
        <v>667003</v>
      </c>
      <c r="C38" s="1"/>
      <c r="D38" s="1"/>
      <c r="E38" s="1"/>
      <c r="F38" s="2">
        <v>18470</v>
      </c>
    </row>
    <row r="39" spans="1:6" x14ac:dyDescent="0.25">
      <c r="A39" s="1">
        <v>2017</v>
      </c>
      <c r="B39" s="2">
        <v>1465229</v>
      </c>
      <c r="C39" s="2">
        <v>1318396</v>
      </c>
      <c r="D39" s="2">
        <v>288943</v>
      </c>
      <c r="E39" s="1"/>
      <c r="F39" s="2">
        <v>21855</v>
      </c>
    </row>
    <row r="40" spans="1:6" x14ac:dyDescent="0.25">
      <c r="A40" s="1">
        <v>2018</v>
      </c>
      <c r="B40" s="2">
        <v>1320867</v>
      </c>
      <c r="C40" s="1"/>
      <c r="D40" s="1"/>
      <c r="E40" s="1"/>
      <c r="F40" s="2">
        <v>49788</v>
      </c>
    </row>
    <row r="41" spans="1:6" x14ac:dyDescent="0.25">
      <c r="A41" s="1">
        <v>2019</v>
      </c>
      <c r="B41" s="2">
        <v>1281083</v>
      </c>
      <c r="C41" s="2">
        <v>580543</v>
      </c>
      <c r="D41" s="2">
        <v>257604</v>
      </c>
      <c r="E41" s="1"/>
      <c r="F41" s="2">
        <v>50960</v>
      </c>
    </row>
    <row r="42" spans="1:6" x14ac:dyDescent="0.25">
      <c r="A42" s="1">
        <v>2020</v>
      </c>
      <c r="B42" s="2">
        <v>456713</v>
      </c>
      <c r="C42" s="1"/>
      <c r="D42" s="1"/>
      <c r="E42" s="1"/>
      <c r="F42" s="2">
        <v>59377</v>
      </c>
    </row>
    <row r="43" spans="1:6" x14ac:dyDescent="0.25">
      <c r="A43" s="1">
        <v>2021</v>
      </c>
      <c r="B43" s="2">
        <v>526974</v>
      </c>
      <c r="C43" s="2">
        <v>431148</v>
      </c>
      <c r="D43" s="2">
        <v>494743</v>
      </c>
      <c r="E43" s="1"/>
      <c r="F43" s="2">
        <v>64813</v>
      </c>
    </row>
    <row r="44" spans="1:6" x14ac:dyDescent="0.25">
      <c r="A44" s="1">
        <v>2022</v>
      </c>
      <c r="B44" s="2">
        <v>365411</v>
      </c>
      <c r="C44" s="1"/>
      <c r="D44" s="1"/>
      <c r="E44" s="1"/>
      <c r="F44" s="2">
        <v>71196</v>
      </c>
    </row>
    <row r="45" spans="1:6" x14ac:dyDescent="0.25">
      <c r="A45" s="1">
        <v>2023</v>
      </c>
      <c r="B45" s="2">
        <v>258829</v>
      </c>
      <c r="C45" s="2">
        <v>740417</v>
      </c>
      <c r="D45" s="2">
        <v>887602</v>
      </c>
      <c r="E45" s="1"/>
      <c r="F45" s="2">
        <v>56611</v>
      </c>
    </row>
    <row r="46" spans="1:6" x14ac:dyDescent="0.25">
      <c r="A46" s="1">
        <v>2024</v>
      </c>
      <c r="B46" s="2">
        <v>289973</v>
      </c>
      <c r="C46" s="1"/>
      <c r="D46" s="1"/>
      <c r="E46" s="1"/>
      <c r="F46" s="2">
        <v>66384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F36B49-C407-4354-9ED7-0927123F3C79}">
  <dimension ref="A1:L46"/>
  <sheetViews>
    <sheetView workbookViewId="0">
      <selection activeCell="R9" sqref="R9"/>
    </sheetView>
  </sheetViews>
  <sheetFormatPr defaultRowHeight="15" x14ac:dyDescent="0.25"/>
  <sheetData>
    <row r="1" spans="1:12" x14ac:dyDescent="0.25">
      <c r="A1" s="3" t="s">
        <v>18</v>
      </c>
    </row>
    <row r="2" spans="1:12" ht="36" x14ac:dyDescent="0.25">
      <c r="A2" s="4" t="s">
        <v>0</v>
      </c>
      <c r="B2" s="4" t="s">
        <v>7</v>
      </c>
      <c r="C2" s="4" t="s">
        <v>8</v>
      </c>
      <c r="D2" s="4" t="s">
        <v>9</v>
      </c>
      <c r="E2" s="4" t="s">
        <v>10</v>
      </c>
      <c r="F2" s="4" t="s">
        <v>11</v>
      </c>
      <c r="G2" s="4" t="s">
        <v>12</v>
      </c>
      <c r="H2" s="4" t="s">
        <v>13</v>
      </c>
      <c r="I2" s="4" t="s">
        <v>14</v>
      </c>
      <c r="J2" s="4" t="s">
        <v>15</v>
      </c>
      <c r="K2" s="4" t="s">
        <v>16</v>
      </c>
      <c r="L2" s="4" t="s">
        <v>17</v>
      </c>
    </row>
    <row r="3" spans="1:12" x14ac:dyDescent="0.25">
      <c r="A3" s="5">
        <v>1981</v>
      </c>
      <c r="B3" s="5">
        <v>38</v>
      </c>
      <c r="C3" s="5">
        <v>13</v>
      </c>
      <c r="D3" s="5">
        <v>0.12</v>
      </c>
      <c r="E3" s="6">
        <v>1921</v>
      </c>
      <c r="F3" s="6">
        <v>1815</v>
      </c>
      <c r="G3" s="5"/>
      <c r="H3" s="6">
        <v>3736</v>
      </c>
      <c r="I3" s="5"/>
      <c r="J3" s="5"/>
      <c r="K3" s="5"/>
      <c r="L3" s="5"/>
    </row>
    <row r="4" spans="1:12" x14ac:dyDescent="0.25">
      <c r="A4" s="5">
        <v>1982</v>
      </c>
      <c r="B4" s="5"/>
      <c r="C4" s="5"/>
      <c r="D4" s="5"/>
      <c r="E4" s="6"/>
      <c r="F4" s="6"/>
      <c r="G4" s="5"/>
      <c r="H4" s="6"/>
      <c r="I4" s="5"/>
      <c r="J4" s="5"/>
      <c r="K4" s="5"/>
      <c r="L4" s="5"/>
    </row>
    <row r="5" spans="1:12" x14ac:dyDescent="0.25">
      <c r="A5" s="5">
        <v>1983</v>
      </c>
      <c r="B5" s="5">
        <v>40</v>
      </c>
      <c r="C5" s="5">
        <v>0</v>
      </c>
      <c r="D5" s="5">
        <v>0.16</v>
      </c>
      <c r="E5" s="6">
        <v>1642</v>
      </c>
      <c r="F5" s="6">
        <v>1103</v>
      </c>
      <c r="G5" s="5"/>
      <c r="H5" s="6">
        <v>2745</v>
      </c>
      <c r="I5" s="5"/>
      <c r="J5" s="5"/>
      <c r="K5" s="5"/>
      <c r="L5" s="5"/>
    </row>
    <row r="6" spans="1:12" x14ac:dyDescent="0.25">
      <c r="A6" s="5">
        <v>1984</v>
      </c>
      <c r="B6" s="5">
        <v>45</v>
      </c>
      <c r="C6" s="5">
        <v>0</v>
      </c>
      <c r="D6" s="5">
        <v>0.18</v>
      </c>
      <c r="E6" s="6">
        <v>1739</v>
      </c>
      <c r="F6" s="6">
        <v>1622</v>
      </c>
      <c r="G6" s="5"/>
      <c r="H6" s="6">
        <v>3361</v>
      </c>
      <c r="I6" s="5"/>
      <c r="J6" s="5"/>
      <c r="K6" s="5"/>
      <c r="L6" s="5"/>
    </row>
    <row r="7" spans="1:12" x14ac:dyDescent="0.25">
      <c r="A7" s="5">
        <v>1985</v>
      </c>
      <c r="B7" s="5">
        <v>57</v>
      </c>
      <c r="C7" s="5">
        <v>0</v>
      </c>
      <c r="D7" s="5">
        <v>0.14000000000000001</v>
      </c>
      <c r="E7" s="6">
        <v>1055</v>
      </c>
      <c r="F7" s="6">
        <v>1187</v>
      </c>
      <c r="G7" s="5"/>
      <c r="H7" s="6">
        <v>2242</v>
      </c>
      <c r="I7" s="5"/>
      <c r="J7" s="5"/>
      <c r="K7" s="5"/>
      <c r="L7" s="5"/>
    </row>
    <row r="8" spans="1:12" x14ac:dyDescent="0.25">
      <c r="A8" s="5">
        <v>1986</v>
      </c>
      <c r="B8" s="5">
        <v>39</v>
      </c>
      <c r="C8" s="5">
        <v>0</v>
      </c>
      <c r="D8" s="5">
        <v>0.22</v>
      </c>
      <c r="E8" s="5">
        <v>642</v>
      </c>
      <c r="F8" s="5">
        <v>618</v>
      </c>
      <c r="G8" s="5"/>
      <c r="H8" s="6">
        <v>1260</v>
      </c>
      <c r="I8" s="5"/>
      <c r="J8" s="5"/>
      <c r="K8" s="5"/>
      <c r="L8" s="5"/>
    </row>
    <row r="9" spans="1:12" x14ac:dyDescent="0.25">
      <c r="A9" s="5">
        <v>1987</v>
      </c>
      <c r="B9" s="5">
        <v>27</v>
      </c>
      <c r="C9" s="5">
        <v>0</v>
      </c>
      <c r="D9" s="5"/>
      <c r="E9" s="5">
        <v>557</v>
      </c>
      <c r="F9" s="5">
        <v>643</v>
      </c>
      <c r="G9" s="5"/>
      <c r="H9" s="6">
        <v>1200</v>
      </c>
      <c r="I9" s="5"/>
      <c r="J9" s="5"/>
      <c r="K9" s="5"/>
      <c r="L9" s="5"/>
    </row>
    <row r="10" spans="1:12" x14ac:dyDescent="0.25">
      <c r="A10" s="5">
        <v>1988</v>
      </c>
      <c r="B10" s="5">
        <v>26</v>
      </c>
      <c r="C10" s="5">
        <v>0</v>
      </c>
      <c r="D10" s="5">
        <v>0.17</v>
      </c>
      <c r="E10" s="5">
        <v>537</v>
      </c>
      <c r="F10" s="5">
        <v>464</v>
      </c>
      <c r="G10" s="5"/>
      <c r="H10" s="6">
        <v>1001</v>
      </c>
      <c r="I10" s="5"/>
      <c r="J10" s="5"/>
      <c r="K10" s="5"/>
      <c r="L10" s="5"/>
    </row>
    <row r="11" spans="1:12" x14ac:dyDescent="0.25">
      <c r="A11" s="5">
        <v>1989</v>
      </c>
      <c r="B11" s="5">
        <v>21</v>
      </c>
      <c r="C11" s="5">
        <v>0</v>
      </c>
      <c r="D11" s="5">
        <v>0.1</v>
      </c>
      <c r="E11" s="5">
        <v>582</v>
      </c>
      <c r="F11" s="5">
        <v>545</v>
      </c>
      <c r="G11" s="5"/>
      <c r="H11" s="6">
        <v>1127</v>
      </c>
      <c r="I11" s="5"/>
      <c r="J11" s="5"/>
      <c r="K11" s="5"/>
      <c r="L11" s="5"/>
    </row>
    <row r="12" spans="1:12" x14ac:dyDescent="0.25">
      <c r="A12" s="5">
        <v>1990</v>
      </c>
      <c r="B12" s="5">
        <v>28</v>
      </c>
      <c r="C12" s="5">
        <v>13</v>
      </c>
      <c r="D12" s="5">
        <v>0.17</v>
      </c>
      <c r="E12" s="6">
        <v>1034</v>
      </c>
      <c r="F12" s="6">
        <v>1181</v>
      </c>
      <c r="G12" s="5"/>
      <c r="H12" s="6">
        <v>2215</v>
      </c>
      <c r="I12" s="5"/>
      <c r="J12" s="5"/>
      <c r="K12" s="5"/>
      <c r="L12" s="5"/>
    </row>
    <row r="13" spans="1:12" x14ac:dyDescent="0.25">
      <c r="A13" s="5">
        <v>1991</v>
      </c>
      <c r="B13" s="5">
        <v>16</v>
      </c>
      <c r="C13" s="5">
        <v>2</v>
      </c>
      <c r="D13" s="5">
        <v>0.35</v>
      </c>
      <c r="E13" s="5">
        <v>468</v>
      </c>
      <c r="F13" s="5">
        <v>567</v>
      </c>
      <c r="G13" s="5"/>
      <c r="H13" s="6">
        <v>1035</v>
      </c>
      <c r="I13" s="5"/>
      <c r="J13" s="5"/>
      <c r="K13" s="5"/>
      <c r="L13" s="5"/>
    </row>
    <row r="14" spans="1:12" x14ac:dyDescent="0.25">
      <c r="A14" s="5">
        <v>1992</v>
      </c>
      <c r="B14" s="5">
        <v>17</v>
      </c>
      <c r="C14" s="5">
        <v>8</v>
      </c>
      <c r="D14" s="5">
        <v>0.04</v>
      </c>
      <c r="E14" s="5">
        <v>784</v>
      </c>
      <c r="F14" s="5">
        <v>765</v>
      </c>
      <c r="G14" s="5"/>
      <c r="H14" s="6">
        <v>1549</v>
      </c>
      <c r="I14" s="5"/>
      <c r="J14" s="5"/>
      <c r="K14" s="5"/>
      <c r="L14" s="5"/>
    </row>
    <row r="15" spans="1:12" x14ac:dyDescent="0.25">
      <c r="A15" s="5">
        <v>1993</v>
      </c>
      <c r="B15" s="5">
        <v>22</v>
      </c>
      <c r="C15" s="5">
        <v>2</v>
      </c>
      <c r="D15" s="5">
        <v>0.05</v>
      </c>
      <c r="E15" s="5">
        <v>583</v>
      </c>
      <c r="F15" s="5">
        <v>624</v>
      </c>
      <c r="G15" s="5"/>
      <c r="H15" s="6">
        <v>1207</v>
      </c>
      <c r="I15" s="5"/>
      <c r="J15" s="5"/>
      <c r="K15" s="5"/>
      <c r="L15" s="5"/>
    </row>
    <row r="16" spans="1:12" x14ac:dyDescent="0.25">
      <c r="A16" s="5">
        <v>1994</v>
      </c>
      <c r="B16" s="5">
        <v>44</v>
      </c>
      <c r="C16" s="5">
        <v>9</v>
      </c>
      <c r="D16" s="5">
        <v>0.05</v>
      </c>
      <c r="E16" s="5">
        <v>553</v>
      </c>
      <c r="F16" s="5">
        <v>632</v>
      </c>
      <c r="G16" s="5"/>
      <c r="H16" s="6">
        <v>1185</v>
      </c>
      <c r="I16" s="5"/>
      <c r="J16" s="5"/>
      <c r="K16" s="5"/>
      <c r="L16" s="5"/>
    </row>
    <row r="17" spans="1:12" x14ac:dyDescent="0.25">
      <c r="A17" s="5">
        <v>1995</v>
      </c>
      <c r="B17" s="5">
        <v>22</v>
      </c>
      <c r="C17" s="5">
        <v>3</v>
      </c>
      <c r="D17" s="5">
        <v>0.05</v>
      </c>
      <c r="E17" s="5">
        <v>599</v>
      </c>
      <c r="F17" s="5">
        <v>575</v>
      </c>
      <c r="G17" s="5"/>
      <c r="H17" s="6">
        <v>1174</v>
      </c>
      <c r="I17" s="5"/>
      <c r="J17" s="5"/>
      <c r="K17" s="5"/>
      <c r="L17" s="5"/>
    </row>
    <row r="18" spans="1:12" x14ac:dyDescent="0.25">
      <c r="A18" s="5">
        <v>1996</v>
      </c>
      <c r="B18" s="5">
        <v>30</v>
      </c>
      <c r="C18" s="5">
        <v>8</v>
      </c>
      <c r="D18" s="5">
        <v>0.04</v>
      </c>
      <c r="E18" s="5">
        <v>724</v>
      </c>
      <c r="F18" s="5">
        <v>775</v>
      </c>
      <c r="G18" s="5"/>
      <c r="H18" s="6">
        <v>1499</v>
      </c>
      <c r="I18" s="5"/>
      <c r="J18" s="5"/>
      <c r="K18" s="5"/>
      <c r="L18" s="5"/>
    </row>
    <row r="19" spans="1:12" x14ac:dyDescent="0.25">
      <c r="A19" s="5">
        <v>1997</v>
      </c>
      <c r="B19" s="5">
        <v>16</v>
      </c>
      <c r="C19" s="5">
        <v>14</v>
      </c>
      <c r="D19" s="5">
        <v>0.04</v>
      </c>
      <c r="E19" s="5">
        <v>682</v>
      </c>
      <c r="F19" s="5">
        <v>853</v>
      </c>
      <c r="G19" s="5"/>
      <c r="H19" s="6">
        <v>1535</v>
      </c>
      <c r="I19" s="6">
        <v>5380</v>
      </c>
      <c r="J19" s="6">
        <v>6104</v>
      </c>
      <c r="K19" s="5"/>
      <c r="L19" s="6">
        <v>11484</v>
      </c>
    </row>
    <row r="20" spans="1:12" x14ac:dyDescent="0.25">
      <c r="A20" s="5">
        <v>1998</v>
      </c>
      <c r="B20" s="5">
        <v>22</v>
      </c>
      <c r="C20" s="5">
        <v>9</v>
      </c>
      <c r="D20" s="5">
        <v>0.04</v>
      </c>
      <c r="E20" s="5">
        <v>863</v>
      </c>
      <c r="F20" s="5">
        <v>784</v>
      </c>
      <c r="G20" s="5"/>
      <c r="H20" s="6">
        <v>1647</v>
      </c>
      <c r="I20" s="6">
        <v>5487</v>
      </c>
      <c r="J20" s="6">
        <v>4946</v>
      </c>
      <c r="K20" s="5"/>
      <c r="L20" s="6">
        <v>10433</v>
      </c>
    </row>
    <row r="21" spans="1:12" x14ac:dyDescent="0.25">
      <c r="A21" s="5">
        <v>1999</v>
      </c>
      <c r="B21" s="5"/>
      <c r="C21" s="5"/>
      <c r="D21" s="5"/>
      <c r="E21" s="5"/>
      <c r="F21" s="5"/>
      <c r="G21" s="5"/>
      <c r="H21" s="6"/>
      <c r="I21" s="6"/>
      <c r="J21" s="6"/>
      <c r="K21" s="5"/>
      <c r="L21" s="6"/>
    </row>
    <row r="22" spans="1:12" x14ac:dyDescent="0.25">
      <c r="A22" s="5">
        <v>2000</v>
      </c>
      <c r="B22" s="5">
        <v>31</v>
      </c>
      <c r="C22" s="5">
        <v>0</v>
      </c>
      <c r="D22" s="5">
        <v>0.05</v>
      </c>
      <c r="E22" s="5">
        <v>422</v>
      </c>
      <c r="F22" s="5">
        <v>363</v>
      </c>
      <c r="G22" s="5"/>
      <c r="H22" s="5">
        <v>785</v>
      </c>
      <c r="I22" s="6">
        <v>6007</v>
      </c>
      <c r="J22" s="6">
        <v>5196</v>
      </c>
      <c r="K22" s="5"/>
      <c r="L22" s="6">
        <v>11203</v>
      </c>
    </row>
    <row r="23" spans="1:12" x14ac:dyDescent="0.25">
      <c r="A23" s="5">
        <v>2001</v>
      </c>
      <c r="B23" s="5">
        <v>17</v>
      </c>
      <c r="C23" s="5">
        <v>9</v>
      </c>
      <c r="D23" s="5">
        <v>0.05</v>
      </c>
      <c r="E23" s="5">
        <v>314</v>
      </c>
      <c r="F23" s="5">
        <v>378</v>
      </c>
      <c r="G23" s="5"/>
      <c r="H23" s="5">
        <v>692</v>
      </c>
      <c r="I23" s="6">
        <v>4531</v>
      </c>
      <c r="J23" s="6">
        <v>4584</v>
      </c>
      <c r="K23" s="5"/>
      <c r="L23" s="6">
        <v>9115</v>
      </c>
    </row>
    <row r="24" spans="1:12" x14ac:dyDescent="0.25">
      <c r="A24" s="5">
        <v>2002</v>
      </c>
      <c r="B24" s="5">
        <v>18</v>
      </c>
      <c r="C24" s="5">
        <v>1</v>
      </c>
      <c r="D24" s="5">
        <v>7.0000000000000007E-2</v>
      </c>
      <c r="E24" s="5">
        <v>278</v>
      </c>
      <c r="F24" s="5">
        <v>326</v>
      </c>
      <c r="G24" s="5"/>
      <c r="H24" s="5">
        <v>604</v>
      </c>
      <c r="I24" s="6">
        <v>2876</v>
      </c>
      <c r="J24" s="6">
        <v>2871</v>
      </c>
      <c r="K24" s="5"/>
      <c r="L24" s="6">
        <v>5747</v>
      </c>
    </row>
    <row r="25" spans="1:12" x14ac:dyDescent="0.25">
      <c r="A25" s="5">
        <v>2003</v>
      </c>
      <c r="B25" s="5">
        <v>17</v>
      </c>
      <c r="C25" s="5">
        <v>2</v>
      </c>
      <c r="D25" s="5">
        <v>0.05</v>
      </c>
      <c r="E25" s="5">
        <v>287</v>
      </c>
      <c r="F25" s="5">
        <v>329</v>
      </c>
      <c r="G25" s="5"/>
      <c r="H25" s="5">
        <v>616</v>
      </c>
      <c r="I25" s="6">
        <v>3554</v>
      </c>
      <c r="J25" s="6">
        <v>3724</v>
      </c>
      <c r="K25" s="5"/>
      <c r="L25" s="6">
        <v>7278</v>
      </c>
    </row>
    <row r="26" spans="1:12" x14ac:dyDescent="0.25">
      <c r="A26" s="5">
        <v>2004</v>
      </c>
      <c r="B26" s="5">
        <v>13</v>
      </c>
      <c r="C26" s="5">
        <v>2</v>
      </c>
      <c r="D26" s="5">
        <v>0.09</v>
      </c>
      <c r="E26" s="5">
        <v>492</v>
      </c>
      <c r="F26" s="5">
        <v>440</v>
      </c>
      <c r="G26" s="5"/>
      <c r="H26" s="5">
        <v>932</v>
      </c>
      <c r="I26" s="6">
        <v>3838</v>
      </c>
      <c r="J26" s="6">
        <v>2552</v>
      </c>
      <c r="K26" s="5">
        <v>91</v>
      </c>
      <c r="L26" s="6">
        <v>6481</v>
      </c>
    </row>
    <row r="27" spans="1:12" x14ac:dyDescent="0.25">
      <c r="A27" s="5">
        <v>2005</v>
      </c>
      <c r="B27" s="5">
        <v>22</v>
      </c>
      <c r="C27" s="5">
        <v>1</v>
      </c>
      <c r="D27" s="5">
        <v>0.04</v>
      </c>
      <c r="E27" s="5">
        <v>543</v>
      </c>
      <c r="F27" s="5">
        <v>335</v>
      </c>
      <c r="G27" s="5"/>
      <c r="H27" s="5">
        <v>878</v>
      </c>
      <c r="I27" s="6">
        <v>2714</v>
      </c>
      <c r="J27" s="6">
        <v>2094</v>
      </c>
      <c r="K27" s="5"/>
      <c r="L27" s="6">
        <v>4808</v>
      </c>
    </row>
    <row r="28" spans="1:12" x14ac:dyDescent="0.25">
      <c r="A28" s="5">
        <v>2006</v>
      </c>
      <c r="B28" s="5">
        <v>17</v>
      </c>
      <c r="C28" s="5">
        <v>2</v>
      </c>
      <c r="D28" s="5">
        <v>0.04</v>
      </c>
      <c r="E28" s="5">
        <v>295</v>
      </c>
      <c r="F28" s="5">
        <v>487</v>
      </c>
      <c r="G28" s="5"/>
      <c r="H28" s="5">
        <v>782</v>
      </c>
      <c r="I28" s="6">
        <v>2527</v>
      </c>
      <c r="J28" s="6">
        <v>3026</v>
      </c>
      <c r="K28" s="5"/>
      <c r="L28" s="6">
        <v>5553</v>
      </c>
    </row>
    <row r="29" spans="1:12" x14ac:dyDescent="0.25">
      <c r="A29" s="5">
        <v>2007</v>
      </c>
      <c r="B29" s="5">
        <v>9</v>
      </c>
      <c r="C29" s="5">
        <v>1</v>
      </c>
      <c r="D29" s="5">
        <v>0.06</v>
      </c>
      <c r="E29" s="5">
        <v>335</v>
      </c>
      <c r="F29" s="5">
        <v>338</v>
      </c>
      <c r="G29" s="5"/>
      <c r="H29" s="5">
        <v>673</v>
      </c>
      <c r="I29" s="6">
        <v>2145</v>
      </c>
      <c r="J29" s="6">
        <v>2194</v>
      </c>
      <c r="K29" s="5"/>
      <c r="L29" s="6">
        <v>4339</v>
      </c>
    </row>
    <row r="30" spans="1:12" x14ac:dyDescent="0.25">
      <c r="A30" s="5">
        <v>2008</v>
      </c>
      <c r="B30" s="5">
        <v>10</v>
      </c>
      <c r="C30" s="5">
        <v>2</v>
      </c>
      <c r="D30" s="5">
        <v>0.06</v>
      </c>
      <c r="E30" s="5">
        <v>171</v>
      </c>
      <c r="F30" s="5">
        <v>248</v>
      </c>
      <c r="G30" s="5"/>
      <c r="H30" s="5">
        <v>419</v>
      </c>
      <c r="I30" s="6">
        <v>1641</v>
      </c>
      <c r="J30" s="6">
        <v>1675</v>
      </c>
      <c r="K30" s="5">
        <v>163</v>
      </c>
      <c r="L30" s="6">
        <v>3479</v>
      </c>
    </row>
    <row r="31" spans="1:12" x14ac:dyDescent="0.25">
      <c r="A31" s="5">
        <v>2009</v>
      </c>
      <c r="B31" s="5">
        <v>9</v>
      </c>
      <c r="C31" s="5">
        <v>3</v>
      </c>
      <c r="D31" s="5">
        <v>0.06</v>
      </c>
      <c r="E31" s="5">
        <v>254</v>
      </c>
      <c r="F31" s="5">
        <v>301</v>
      </c>
      <c r="G31" s="5">
        <v>5</v>
      </c>
      <c r="H31" s="5">
        <v>560</v>
      </c>
      <c r="I31" s="6">
        <v>1583</v>
      </c>
      <c r="J31" s="6">
        <v>1632</v>
      </c>
      <c r="K31" s="5">
        <v>747</v>
      </c>
      <c r="L31" s="6">
        <v>3962</v>
      </c>
    </row>
    <row r="32" spans="1:12" x14ac:dyDescent="0.25">
      <c r="A32" s="5">
        <v>2010</v>
      </c>
      <c r="B32" s="5">
        <v>13</v>
      </c>
      <c r="C32" s="5">
        <v>2</v>
      </c>
      <c r="D32" s="5">
        <v>0.03</v>
      </c>
      <c r="E32" s="5">
        <v>286</v>
      </c>
      <c r="F32" s="5">
        <v>244</v>
      </c>
      <c r="G32" s="5"/>
      <c r="H32" s="5">
        <v>530</v>
      </c>
      <c r="I32" s="6">
        <v>2590</v>
      </c>
      <c r="J32" s="6">
        <v>2358</v>
      </c>
      <c r="K32" s="5"/>
      <c r="L32" s="6">
        <v>4948</v>
      </c>
    </row>
    <row r="33" spans="1:12" x14ac:dyDescent="0.25">
      <c r="A33" s="5">
        <v>2011</v>
      </c>
      <c r="B33" s="5"/>
      <c r="C33" s="5"/>
      <c r="D33" s="5"/>
      <c r="E33" s="5"/>
      <c r="F33" s="5"/>
      <c r="G33" s="5"/>
      <c r="H33" s="5"/>
      <c r="I33" s="6"/>
      <c r="J33" s="6"/>
      <c r="K33" s="5"/>
      <c r="L33" s="6"/>
    </row>
    <row r="34" spans="1:12" x14ac:dyDescent="0.25">
      <c r="A34" s="5">
        <v>2012</v>
      </c>
      <c r="B34" s="5">
        <v>8</v>
      </c>
      <c r="C34" s="5">
        <v>3</v>
      </c>
      <c r="D34" s="5">
        <v>0.08</v>
      </c>
      <c r="E34" s="5">
        <v>235</v>
      </c>
      <c r="F34" s="5">
        <v>372</v>
      </c>
      <c r="G34" s="5">
        <v>10</v>
      </c>
      <c r="H34" s="5">
        <v>617</v>
      </c>
      <c r="I34" s="6">
        <v>1727</v>
      </c>
      <c r="J34" s="6">
        <v>1989</v>
      </c>
      <c r="K34" s="5">
        <v>297</v>
      </c>
      <c r="L34" s="6">
        <v>4013</v>
      </c>
    </row>
    <row r="35" spans="1:12" x14ac:dyDescent="0.25">
      <c r="A35" s="5">
        <v>2013</v>
      </c>
      <c r="B35" s="5">
        <v>29</v>
      </c>
      <c r="C35" s="5">
        <v>5</v>
      </c>
      <c r="D35" s="5">
        <v>0.05</v>
      </c>
      <c r="E35" s="5">
        <v>376</v>
      </c>
      <c r="F35" s="5">
        <v>386</v>
      </c>
      <c r="G35" s="5">
        <v>26</v>
      </c>
      <c r="H35" s="5">
        <v>788</v>
      </c>
      <c r="I35" s="6">
        <v>2198</v>
      </c>
      <c r="J35" s="6">
        <v>2436</v>
      </c>
      <c r="K35" s="5">
        <v>171</v>
      </c>
      <c r="L35" s="6">
        <v>4805</v>
      </c>
    </row>
    <row r="36" spans="1:12" x14ac:dyDescent="0.25">
      <c r="A36" s="5">
        <v>2014</v>
      </c>
      <c r="B36" s="5">
        <v>19</v>
      </c>
      <c r="C36" s="5">
        <v>2</v>
      </c>
      <c r="D36" s="5">
        <v>0.05</v>
      </c>
      <c r="E36" s="5">
        <v>389</v>
      </c>
      <c r="F36" s="5">
        <v>430</v>
      </c>
      <c r="G36" s="5">
        <v>35</v>
      </c>
      <c r="H36" s="5">
        <v>854</v>
      </c>
      <c r="I36" s="6">
        <v>3940</v>
      </c>
      <c r="J36" s="6">
        <v>3377</v>
      </c>
      <c r="K36" s="5">
        <v>635</v>
      </c>
      <c r="L36" s="6">
        <v>7952</v>
      </c>
    </row>
    <row r="37" spans="1:12" x14ac:dyDescent="0.25">
      <c r="A37" s="5">
        <v>2015</v>
      </c>
      <c r="B37" s="5">
        <v>20</v>
      </c>
      <c r="C37" s="5">
        <v>0</v>
      </c>
      <c r="D37" s="5">
        <v>0.04</v>
      </c>
      <c r="E37" s="5">
        <v>354</v>
      </c>
      <c r="F37" s="5">
        <v>372</v>
      </c>
      <c r="G37" s="5">
        <v>29</v>
      </c>
      <c r="H37" s="5">
        <v>755</v>
      </c>
      <c r="I37" s="6">
        <v>4552</v>
      </c>
      <c r="J37" s="6">
        <v>4227</v>
      </c>
      <c r="K37" s="5">
        <v>176</v>
      </c>
      <c r="L37" s="6">
        <v>8955</v>
      </c>
    </row>
    <row r="38" spans="1:12" x14ac:dyDescent="0.25">
      <c r="A38" s="5">
        <v>2016</v>
      </c>
      <c r="B38" s="5">
        <v>19</v>
      </c>
      <c r="C38" s="5">
        <v>0</v>
      </c>
      <c r="D38" s="5">
        <v>7.0000000000000007E-2</v>
      </c>
      <c r="E38" s="5">
        <v>337</v>
      </c>
      <c r="F38" s="5">
        <v>269</v>
      </c>
      <c r="G38" s="5"/>
      <c r="H38" s="5">
        <v>606</v>
      </c>
      <c r="I38" s="6">
        <v>5115</v>
      </c>
      <c r="J38" s="6">
        <v>3290</v>
      </c>
      <c r="K38" s="5"/>
      <c r="L38" s="6">
        <v>8405</v>
      </c>
    </row>
    <row r="39" spans="1:12" x14ac:dyDescent="0.25">
      <c r="A39" s="5">
        <v>2017</v>
      </c>
      <c r="B39" s="5">
        <v>16</v>
      </c>
      <c r="C39" s="5">
        <v>1</v>
      </c>
      <c r="D39" s="5">
        <v>0.04</v>
      </c>
      <c r="E39" s="5">
        <v>241</v>
      </c>
      <c r="F39" s="5">
        <v>314</v>
      </c>
      <c r="G39" s="5">
        <v>58</v>
      </c>
      <c r="H39" s="5">
        <v>613</v>
      </c>
      <c r="I39" s="6">
        <v>2501</v>
      </c>
      <c r="J39" s="6">
        <v>2781</v>
      </c>
      <c r="K39" s="5">
        <v>515</v>
      </c>
      <c r="L39" s="6">
        <v>5797</v>
      </c>
    </row>
    <row r="40" spans="1:12" x14ac:dyDescent="0.25">
      <c r="A40" s="5">
        <v>2018</v>
      </c>
      <c r="B40" s="5">
        <v>14</v>
      </c>
      <c r="C40" s="5">
        <v>4</v>
      </c>
      <c r="D40" s="5">
        <v>0.04</v>
      </c>
      <c r="E40" s="5">
        <v>303</v>
      </c>
      <c r="F40" s="5">
        <v>359</v>
      </c>
      <c r="G40" s="5">
        <v>65</v>
      </c>
      <c r="H40" s="5">
        <v>727</v>
      </c>
      <c r="I40" s="5">
        <v>367</v>
      </c>
      <c r="J40" s="5">
        <v>430</v>
      </c>
      <c r="K40" s="6">
        <v>4742</v>
      </c>
      <c r="L40" s="6">
        <v>5539</v>
      </c>
    </row>
    <row r="41" spans="1:12" x14ac:dyDescent="0.25">
      <c r="A41" s="5">
        <v>2019</v>
      </c>
      <c r="B41" s="5">
        <v>19</v>
      </c>
      <c r="C41" s="5">
        <v>7</v>
      </c>
      <c r="D41" s="5">
        <v>7.0000000000000007E-2</v>
      </c>
      <c r="E41" s="5">
        <v>378</v>
      </c>
      <c r="F41" s="5">
        <v>413</v>
      </c>
      <c r="G41" s="5">
        <v>100</v>
      </c>
      <c r="H41" s="5">
        <v>891</v>
      </c>
      <c r="I41" s="5">
        <v>929</v>
      </c>
      <c r="J41" s="5">
        <v>977</v>
      </c>
      <c r="K41" s="6">
        <v>5693</v>
      </c>
      <c r="L41" s="6">
        <v>7599</v>
      </c>
    </row>
    <row r="42" spans="1:12" x14ac:dyDescent="0.25">
      <c r="A42" s="5">
        <v>2020</v>
      </c>
      <c r="B42" s="5">
        <v>23</v>
      </c>
      <c r="C42" s="5">
        <v>0</v>
      </c>
      <c r="D42" s="5">
        <v>0.05</v>
      </c>
      <c r="E42" s="5">
        <v>275</v>
      </c>
      <c r="F42" s="5">
        <v>237</v>
      </c>
      <c r="G42" s="5">
        <v>12</v>
      </c>
      <c r="H42" s="5">
        <v>524</v>
      </c>
      <c r="I42" s="5">
        <v>628</v>
      </c>
      <c r="J42" s="5">
        <v>537</v>
      </c>
      <c r="K42" s="6">
        <v>6090</v>
      </c>
      <c r="L42" s="6">
        <v>7255</v>
      </c>
    </row>
    <row r="43" spans="1:12" x14ac:dyDescent="0.25">
      <c r="A43" s="5">
        <v>2021</v>
      </c>
      <c r="B43" s="5">
        <v>24</v>
      </c>
      <c r="C43" s="5">
        <v>0</v>
      </c>
      <c r="D43" s="5">
        <v>0.03</v>
      </c>
      <c r="E43" s="5">
        <v>253</v>
      </c>
      <c r="F43" s="5">
        <v>260</v>
      </c>
      <c r="G43" s="5">
        <v>90</v>
      </c>
      <c r="H43" s="5">
        <v>603</v>
      </c>
      <c r="I43" s="5">
        <v>575</v>
      </c>
      <c r="J43" s="5">
        <v>658</v>
      </c>
      <c r="K43" s="6">
        <v>7581</v>
      </c>
      <c r="L43" s="6">
        <v>8814</v>
      </c>
    </row>
    <row r="44" spans="1:12" x14ac:dyDescent="0.25">
      <c r="A44" s="5">
        <v>2022</v>
      </c>
      <c r="B44" s="5">
        <v>19</v>
      </c>
      <c r="C44" s="5">
        <v>1</v>
      </c>
      <c r="D44" s="5">
        <v>0.1</v>
      </c>
      <c r="E44" s="5">
        <v>322</v>
      </c>
      <c r="F44" s="5">
        <v>347</v>
      </c>
      <c r="G44" s="5">
        <v>91</v>
      </c>
      <c r="H44" s="5">
        <v>760</v>
      </c>
      <c r="I44" s="5">
        <v>548</v>
      </c>
      <c r="J44" s="5">
        <v>572</v>
      </c>
      <c r="K44" s="6">
        <v>5632</v>
      </c>
      <c r="L44" s="6">
        <v>6752</v>
      </c>
    </row>
    <row r="45" spans="1:12" x14ac:dyDescent="0.25">
      <c r="A45" s="5">
        <v>2023</v>
      </c>
      <c r="B45" s="5">
        <v>16</v>
      </c>
      <c r="C45" s="5">
        <v>0</v>
      </c>
      <c r="D45" s="5">
        <v>0.05</v>
      </c>
      <c r="E45" s="5">
        <v>259</v>
      </c>
      <c r="F45" s="5">
        <v>312</v>
      </c>
      <c r="G45" s="5">
        <v>2</v>
      </c>
      <c r="H45" s="5">
        <v>573</v>
      </c>
      <c r="I45" s="5">
        <v>358</v>
      </c>
      <c r="J45" s="5">
        <v>408</v>
      </c>
      <c r="K45" s="6">
        <v>3767</v>
      </c>
      <c r="L45" s="6">
        <v>4533</v>
      </c>
    </row>
    <row r="46" spans="1:12" x14ac:dyDescent="0.25">
      <c r="A46" s="5">
        <v>2024</v>
      </c>
      <c r="B46" s="5">
        <v>18</v>
      </c>
      <c r="C46" s="5">
        <v>1</v>
      </c>
      <c r="D46" s="5">
        <v>7.0000000000000007E-2</v>
      </c>
      <c r="E46" s="5">
        <v>302</v>
      </c>
      <c r="F46" s="5">
        <v>301</v>
      </c>
      <c r="G46" s="5">
        <v>16</v>
      </c>
      <c r="H46" s="5">
        <v>619</v>
      </c>
      <c r="I46" s="5">
        <v>457</v>
      </c>
      <c r="J46" s="5">
        <v>457</v>
      </c>
      <c r="K46" s="6">
        <v>4683</v>
      </c>
      <c r="L46" s="6">
        <v>5597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ShelStrWint</vt:lpstr>
      <vt:lpstr>Survey Biomass (t)</vt:lpstr>
      <vt:lpstr>CV</vt:lpstr>
    </vt:vector>
  </TitlesOfParts>
  <Company>NOAA Fisheries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Bridget.Ferriss</dc:creator>
  <cp:lastModifiedBy>Bia Dias</cp:lastModifiedBy>
  <dcterms:created xsi:type="dcterms:W3CDTF">2025-12-16T20:47:31Z</dcterms:created>
  <dcterms:modified xsi:type="dcterms:W3CDTF">2026-05-09T03:21:43Z</dcterms:modified>
</cp:coreProperties>
</file>